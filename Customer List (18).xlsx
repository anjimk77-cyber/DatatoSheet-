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02FBB768-DDDC-4706-BA0F-82E302CD9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0" i="1" l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201" i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<sst xmlns="http://schemas.openxmlformats.org/spreadsheetml/2006/main" count="2787" uniqueCount="1021">
  <si>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</si>
  <si>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</si>
  <si>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</si>
  <si>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</si>
  <si>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</si>
  <si>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</si>
  <si>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</si>
  <si>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</si>
  <si>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</si>
  <si>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</si>
  <si>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</si>
  <si>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</si>
  <si>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</si>
  <si>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</si>
  <si>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</si>
  <si>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</si>
  <si>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</si>
  <si>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</si>
  <si>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</si>
  <si>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</si>
  <si>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</si>
  <si>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</si>
  <si>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</si>
  <si>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</si>
  <si>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</si>
  <si>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</si>
  <si>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</si>
  <si>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</si>
  <si>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</si>
  <si>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</si>
  <si>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</si>
  <si>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</si>
  <si>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</si>
  <si>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</si>
  <si>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</si>
  <si>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</si>
  <si>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</si>
  <si>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</si>
  <si>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</si>
  <si>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</si>
  <si>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</si>
  <si>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</si>
  <si>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</si>
  <si>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</si>
  <si>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</si>
  <si>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</si>
  <si>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</si>
  <si>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</si>
  <si>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</si>
  <si>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</si>
  <si>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</si>
  <si>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</si>
  <si>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</si>
  <si>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</si>
  <si>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</si>
  <si>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</si>
  <si>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</si>
  <si>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</si>
  <si>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</si>
  <si>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</si>
  <si>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</si>
  <si>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</si>
  <si>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</si>
  <si>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</si>
  <si>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</si>
  <si>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</si>
  <si>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</si>
  <si>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</si>
  <si>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</si>
  <si>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</si>
  <si>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</si>
  <si>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</si>
  <si>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</si>
  <si>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</si>
  <si>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</si>
  <si>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</si>
  <si>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</si>
  <si>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</si>
  <si>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</si>
  <si>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</si>
  <si>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</si>
  <si>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</si>
  <si>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</si>
  <si>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</si>
  <si>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</si>
  <si>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</si>
  <si>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</si>
  <si>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</si>
  <si>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</si>
  <si>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</si>
  <si>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</si>
  <si>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</si>
  <si>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</si>
  <si>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</si>
  <si>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</si>
  <si>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</si>
  <si>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</si>
  <si>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</si>
  <si>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</si>
  <si>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</si>
  <si>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</si>
  <si>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</si>
  <si>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</si>
  <si>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</si>
  <si>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</si>
  <si>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</si>
  <si>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</si>
  <si>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</si>
  <si>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</si>
  <si>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</si>
  <si>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</si>
  <si>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</si>
  <si>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</si>
  <si>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</si>
  <si>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</si>
  <si>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</si>
  <si>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</si>
  <si>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</si>
  <si>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</si>
  <si>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</si>
  <si>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</si>
  <si>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</si>
  <si>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</si>
  <si>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</si>
  <si>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</si>
  <si>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</si>
  <si>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</si>
  <si>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</si>
  <si>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</si>
  <si>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</si>
  <si>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</si>
  <si>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</si>
  <si>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</si>
  <si>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</si>
  <si>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</si>
  <si>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</si>
  <si>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</si>
  <si>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</si>
  <si>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</si>
  <si>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</si>
  <si>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</si>
  <si>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</si>
  <si>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</si>
  <si>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</si>
  <si>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</si>
  <si>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</si>
  <si>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</si>
  <si>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</si>
  <si>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</si>
  <si>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</si>
  <si>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</si>
  <si>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</si>
  <si>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</si>
  <si>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</si>
  <si>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</si>
  <si>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</si>
  <si>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</si>
  <si>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</si>
  <si>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</si>
  <si>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</si>
  <si>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</si>
  <si>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</si>
  <si>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</si>
  <si>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</si>
  <si>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</si>
  <si>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</si>
  <si>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</si>
  <si>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</si>
  <si>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</si>
  <si>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</si>
  <si>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</si>
  <si>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</si>
  <si>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</si>
  <si>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</si>
  <si>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</si>
  <si>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</si>
  <si>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</si>
  <si>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</si>
  <si>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</si>
  <si>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</si>
  <si>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</si>
  <si>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</si>
  <si>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</si>
  <si>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</si>
  <si>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</si>
  <si>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</si>
  <si>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</si>
  <si>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</si>
  <si>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</si>
  <si>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</si>
  <si>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</si>
  <si>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</si>
  <si>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</si>
  <si>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</si>
  <si>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</si>
  <si>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</si>
  <si>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</si>
  <si>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</si>
  <si>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</si>
  <si>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</si>
  <si>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</si>
  <si>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</si>
  <si>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</si>
  <si>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</si>
  <si>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</si>
  <si>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</si>
  <si>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</si>
  <si>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</si>
  <si>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</si>
  <si>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</si>
  <si>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</si>
  <si>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</si>
  <si>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</si>
  <si>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</si>
  <si>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</si>
  <si>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</si>
  <si>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</si>
  <si>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</si>
  <si>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</si>
  <si>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</si>
  <si>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</si>
  <si>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</si>
  <si>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</si>
  <si>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</si>
  <si>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</si>
  <si>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</si>
  <si>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</si>
  <si>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</si>
  <si>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</si>
  <si>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</si>
  <si>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</si>
  <si>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</si>
  <si>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</si>
  <si>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</si>
  <si>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</si>
  <si>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</si>
  <si>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</si>
  <si>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</si>
  <si>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</si>
  <si>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</si>
  <si>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</si>
  <si>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</si>
  <si>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</si>
  <si>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</si>
  <si>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</si>
  <si>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</si>
  <si>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</si>
  <si>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</si>
  <si>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</si>
  <si>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</si>
  <si>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</si>
  <si>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</si>
  <si>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</si>
  <si>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</si>
  <si>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</si>
  <si>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</si>
  <si>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</si>
  <si>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</si>
  <si>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</si>
  <si>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</si>
  <si>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</si>
  <si>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</si>
  <si>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</si>
  <si>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</si>
  <si>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</si>
  <si>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</si>
  <si>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</si>
  <si>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</si>
  <si>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</si>
  <si>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</si>
  <si>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</si>
  <si>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</si>
  <si>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</si>
  <si>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</si>
  <si>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</si>
  <si>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</si>
  <si>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</si>
  <si>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</si>
  <si>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</si>
  <si>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</si>
  <si>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</si>
  <si>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</si>
  <si>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</si>
  <si>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</si>
  <si>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</si>
  <si>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</si>
  <si>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</si>
  <si>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</si>
  <si>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</si>
  <si>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</si>
  <si>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</si>
  <si>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</si>
  <si>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</si>
  <si>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</si>
  <si>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</si>
  <si>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</si>
  <si>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</si>
  <si>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</si>
  <si>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</si>
  <si>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</si>
  <si>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</si>
  <si>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</si>
  <si>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</si>
  <si>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</si>
  <si>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</si>
  <si>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</si>
  <si>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</si>
  <si>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</si>
  <si>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</si>
  <si>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</si>
  <si>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</si>
  <si>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</si>
  <si>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</si>
  <si>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</si>
  <si>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</si>
  <si>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</si>
  <si>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</si>
  <si>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</si>
  <si>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</si>
  <si>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</si>
  <si>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</si>
  <si>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</si>
  <si>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</si>
  <si>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</si>
  <si>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</si>
  <si>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</si>
  <si>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</si>
  <si>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</si>
  <si>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</si>
  <si>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</si>
  <si>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</si>
  <si>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</si>
  <si>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</si>
  <si>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</si>
  <si>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</si>
  <si>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</si>
  <si>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</si>
  <si>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</si>
  <si>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</si>
  <si>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</si>
  <si>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</si>
  <si>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</si>
  <si>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</si>
  <si>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</si>
  <si>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</si>
  <si>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</si>
  <si>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</si>
  <si>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</si>
  <si>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</si>
  <si>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</si>
  <si>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</si>
  <si>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</si>
  <si>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</si>
  <si>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</si>
  <si>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</si>
  <si>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</si>
  <si>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</si>
  <si>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</si>
  <si>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</si>
  <si>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</si>
  <si>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</si>
  <si>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</si>
  <si>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</si>
  <si>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</si>
  <si>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</si>
  <si>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</si>
  <si>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</si>
  <si>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</si>
  <si>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</si>
  <si>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</si>
  <si>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</si>
  <si>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</si>
  <si>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</si>
  <si>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</si>
  <si>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</si>
  <si>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</si>
  <si>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</si>
  <si>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</si>
  <si>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</si>
  <si>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</si>
  <si>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</si>
  <si>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</si>
  <si>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</si>
  <si>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</si>
  <si>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</si>
  <si>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</si>
  <si>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</si>
  <si>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</si>
  <si>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</si>
  <si>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</si>
  <si>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</si>
  <si>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</si>
  <si>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</si>
  <si>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</si>
  <si>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</si>
  <si>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</si>
  <si>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</si>
  <si>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</si>
  <si>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</si>
  <si>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</si>
  <si>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</si>
  <si>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</si>
  <si>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</si>
  <si>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</si>
  <si>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</si>
  <si>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</si>
  <si>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</si>
  <si>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</si>
  <si>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</si>
  <si>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</si>
  <si>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</si>
  <si>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</si>
  <si>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</si>
  <si>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</si>
  <si>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</si>
  <si>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</si>
  <si>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</si>
  <si>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</si>
  <si>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</si>
  <si>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</si>
  <si>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</si>
  <si>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</si>
  <si>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</si>
  <si>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</si>
  <si>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</si>
  <si>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</si>
  <si>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</si>
  <si>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</si>
  <si>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</si>
  <si>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</si>
  <si>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</si>
  <si>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</si>
  <si>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</si>
  <si>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</si>
  <si>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</si>
  <si>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</si>
  <si>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</si>
  <si>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</si>
  <si>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</si>
  <si>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</si>
  <si>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</si>
  <si>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</si>
  <si>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</si>
  <si>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</si>
  <si>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</si>
  <si>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</si>
  <si>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</si>
  <si>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</si>
  <si>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</si>
  <si>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</si>
  <si>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</si>
  <si>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</si>
  <si>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</si>
  <si>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</si>
  <si>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</si>
  <si>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</si>
  <si>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</si>
  <si>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</si>
  <si>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</si>
  <si>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</si>
  <si>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</si>
  <si>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</si>
  <si>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</si>
  <si>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</si>
  <si>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</si>
  <si>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</si>
  <si>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</si>
  <si>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</si>
  <si>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</si>
  <si>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</si>
  <si>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</si>
  <si>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</si>
  <si>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</si>
  <si>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</si>
  <si>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</si>
  <si>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</si>
  <si>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</si>
  <si>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</si>
  <si>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</si>
  <si>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</si>
  <si>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</si>
  <si>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</si>
  <si>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</si>
  <si>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</si>
  <si>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</si>
  <si>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</si>
  <si>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</si>
  <si>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</si>
  <si>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</si>
  <si>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</si>
  <si>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</si>
  <si>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</si>
  <si>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</si>
  <si>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</si>
  <si>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</si>
  <si>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</si>
  <si>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</si>
  <si>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</si>
  <si>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</si>
  <si>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</si>
  <si>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</si>
  <si>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</si>
  <si>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</si>
  <si>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</si>
  <si>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</si>
  <si>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</si>
  <si>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</si>
  <si>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</si>
  <si>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</si>
  <si>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</si>
  <si>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</si>
  <si>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</si>
  <si>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</si>
  <si>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</si>
  <si>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</si>
  <si>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</si>
  <si>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</si>
  <si>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</si>
  <si>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</si>
  <si>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</si>
  <si>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</si>
  <si>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</si>
  <si>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</si>
  <si>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</si>
  <si>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</si>
  <si>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</si>
  <si>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</si>
  <si>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</si>
  <si>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</si>
  <si>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</si>
  <si>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</si>
  <si>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</si>
  <si>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</si>
  <si>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</si>
  <si>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</si>
  <si>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</si>
  <si>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</si>
  <si>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</si>
  <si>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</si>
  <si>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</si>
  <si>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</si>
  <si>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</si>
  <si>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</si>
  <si>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</si>
  <si>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</si>
  <si>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</si>
  <si>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</si>
  <si>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</si>
  <si>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</si>
  <si>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</si>
  <si>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</si>
  <si>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</si>
  <si>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</si>
  <si>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</si>
  <si>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</si>
  <si>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</si>
  <si>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</si>
  <si>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</si>
  <si>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</si>
  <si>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</si>
  <si>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</si>
  <si>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</si>
  <si>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</si>
  <si>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</si>
  <si>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</si>
  <si>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</si>
  <si>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</si>
  <si>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</si>
  <si>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</si>
  <si>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</si>
  <si>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</si>
  <si>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</si>
  <si>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</si>
  <si>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</si>
  <si>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</si>
  <si>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</si>
  <si>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</si>
  <si>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</si>
  <si>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</si>
  <si>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</si>
  <si>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</si>
  <si>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</si>
  <si>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</si>
  <si>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</si>
  <si>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</si>
  <si>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</si>
  <si>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</si>
  <si>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</si>
  <si>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</si>
  <si>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</si>
  <si>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</si>
  <si>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</si>
  <si>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</si>
  <si>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</si>
  <si>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</si>
  <si>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</si>
  <si>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</si>
  <si>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</si>
  <si>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</si>
  <si>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</si>
  <si>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</si>
  <si>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</si>
  <si>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</si>
  <si>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</si>
  <si>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</si>
  <si>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</si>
  <si>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</si>
  <si>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</si>
  <si>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</si>
  <si>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</si>
  <si>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</si>
  <si>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</si>
  <si>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</si>
  <si>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</si>
  <si>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</si>
  <si>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</si>
  <si>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</si>
  <si>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</si>
  <si>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</si>
  <si>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</si>
  <si>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</si>
  <si>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</si>
  <si>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</si>
  <si>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</si>
  <si>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</si>
  <si>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</si>
  <si>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</si>
  <si>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</si>
  <si>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</si>
  <si>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</si>
  <si>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</si>
  <si>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</si>
  <si>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</si>
  <si>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</si>
  <si>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</si>
  <si>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</si>
  <si>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</si>
  <si>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</si>
  <si>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</si>
  <si>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</si>
  <si>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</si>
  <si>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</si>
  <si>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</si>
  <si>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</si>
  <si>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</si>
  <si>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</si>
  <si>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</si>
  <si>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</si>
  <si>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</si>
  <si>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</si>
  <si>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</si>
  <si>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</si>
  <si>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</si>
  <si>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</si>
  <si>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</si>
  <si>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</si>
  <si>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</si>
  <si>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</si>
  <si>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</si>
  <si>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</si>
  <si>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</si>
  <si>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</si>
  <si>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</si>
  <si>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</si>
  <si>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</si>
  <si>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</si>
  <si>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</si>
  <si>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</si>
  <si>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</si>
  <si>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</si>
  <si>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</si>
  <si>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</si>
  <si>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</si>
  <si>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</si>
  <si>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</si>
  <si>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</si>
  <si>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</si>
  <si>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</si>
  <si>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</si>
  <si>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</si>
  <si>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</si>
  <si>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</si>
  <si>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</si>
  <si>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</si>
  <si>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</si>
  <si>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</si>
  <si>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</si>
  <si>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</si>
  <si>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</si>
  <si>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</si>
  <si>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</si>
  <si>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</si>
  <si>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</si>
  <si>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</si>
  <si>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</si>
  <si>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</si>
  <si>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</si>
  <si>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</si>
  <si>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</si>
  <si>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</si>
  <si>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</si>
  <si>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</si>
  <si>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</si>
  <si>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</si>
  <si>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</si>
  <si>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</si>
  <si>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</si>
  <si>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</si>
  <si>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</si>
  <si>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</si>
  <si>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</si>
  <si>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</si>
  <si>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</si>
  <si>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</si>
  <si>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</si>
  <si>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</si>
  <si>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</si>
  <si>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</si>
  <si>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</si>
  <si>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</si>
  <si>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</si>
  <si>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</si>
  <si>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</si>
  <si>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</si>
  <si>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</si>
  <si>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</si>
  <si>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</si>
  <si>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</si>
  <si>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</si>
  <si>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</si>
  <si>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</si>
  <si>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</si>
  <si>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</si>
  <si>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</si>
  <si>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</si>
  <si>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</si>
  <si>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</si>
  <si>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</si>
  <si>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</si>
  <si>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</si>
  <si>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</si>
  <si>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</si>
  <si>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</si>
  <si>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</si>
  <si>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</si>
  <si>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</si>
  <si>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</si>
  <si>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</si>
  <si>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</si>
  <si>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</si>
  <si>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</si>
  <si>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</si>
  <si>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</si>
  <si>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</si>
  <si>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</si>
  <si>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</si>
  <si>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</si>
  <si>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</si>
  <si>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</si>
  <si>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</si>
  <si>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</si>
  <si>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</si>
  <si>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</si>
  <si>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</si>
  <si>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</si>
  <si>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</si>
  <si>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</si>
  <si>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</si>
  <si>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</si>
  <si>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</si>
  <si>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</si>
  <si>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</si>
  <si>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</si>
  <si>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</si>
  <si>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</si>
  <si>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</si>
  <si>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</si>
  <si>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</si>
  <si>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</si>
  <si>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</si>
  <si>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</si>
  <si>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</si>
  <si>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</si>
  <si>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</si>
  <si>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</si>
  <si>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</si>
  <si>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</si>
  <si>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</si>
  <si>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</si>
  <si>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</si>
  <si>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</si>
  <si>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</si>
  <si>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</si>
  <si>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</si>
  <si>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</si>
  <si>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</si>
  <si>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</si>
  <si>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</si>
  <si>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</si>
  <si>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</si>
  <si>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</si>
  <si>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</si>
  <si>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</si>
  <si>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</si>
  <si>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</si>
  <si>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</si>
  <si>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</si>
  <si>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</si>
  <si>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</si>
  <si>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</si>
  <si>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</si>
  <si>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</si>
  <si>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</si>
  <si>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</si>
  <si>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</si>
  <si>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</si>
  <si>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</si>
  <si>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</si>
  <si>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</si>
  <si>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</si>
  <si>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</si>
  <si>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</si>
  <si>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</si>
  <si>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</si>
  <si>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</si>
  <si>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</si>
  <si>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</si>
  <si>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</si>
  <si>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</si>
  <si>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</si>
  <si>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</si>
  <si>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</si>
  <si>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</si>
  <si>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</si>
  <si>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</si>
  <si>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</si>
  <si>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</si>
  <si>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</si>
  <si>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</si>
  <si>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</si>
  <si>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</si>
  <si>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</si>
  <si>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</si>
  <si>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</si>
  <si>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</si>
  <si>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</si>
  <si>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</si>
  <si>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</si>
  <si>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</si>
  <si>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</si>
  <si>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</si>
  <si>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</si>
  <si>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</si>
  <si>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</si>
  <si>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</si>
  <si>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</si>
  <si>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</si>
  <si>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</si>
  <si>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</si>
  <si>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</si>
  <si>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</si>
  <si>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</si>
  <si>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</si>
  <si>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</si>
  <si>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</si>
  <si>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</si>
  <si>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</si>
  <si>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</si>
  <si>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</si>
  <si>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</si>
  <si>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</si>
  <si>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</si>
  <si>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</si>
  <si>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</si>
  <si>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</si>
  <si>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</si>
  <si>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</si>
  <si>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</si>
  <si>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</si>
  <si>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</si>
  <si>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</si>
  <si>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</si>
  <si>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</si>
  <si>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</si>
  <si>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</si>
  <si>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</si>
  <si>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</si>
  <si>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</si>
  <si>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</si>
  <si>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</si>
  <si>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</si>
  <si>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</si>
  <si>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</si>
  <si>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</si>
  <si>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</si>
  <si>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</si>
  <si>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</si>
  <si>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</si>
  <si>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</si>
  <si>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</si>
  <si>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</si>
  <si>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</si>
  <si>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</si>
  <si>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</si>
  <si>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</si>
  <si>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</si>
  <si>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</si>
  <si>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</si>
  <si>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</si>
  <si>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</si>
  <si>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</si>
  <si>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</si>
  <si>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</si>
  <si>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</si>
  <si>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</si>
  <si>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</si>
  <si>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</si>
  <si>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</si>
  <si>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</si>
  <si>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</si>
  <si>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</si>
  <si>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</si>
  <si>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</si>
  <si>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</si>
  <si>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</si>
  <si>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</si>
  <si>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</si>
  <si>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</si>
  <si>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</si>
  <si>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</si>
  <si>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</si>
  <si>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</si>
  <si>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</si>
  <si>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</si>
  <si>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</si>
  <si>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</si>
  <si>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</si>
  <si>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</si>
  <si>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</si>
  <si>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</si>
  <si>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</si>
  <si>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</si>
  <si>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</si>
  <si>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</si>
  <si>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</si>
  <si>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</si>
  <si>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</si>
  <si>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</si>
  <si>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</si>
  <si>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</si>
  <si>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</si>
  <si>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</si>
  <si>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</si>
  <si>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</si>
  <si>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</si>
  <si>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</si>
  <si>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</si>
  <si>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</si>
  <si>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</si>
  <si>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</si>
  <si>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</si>
  <si>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</si>
  <si>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</si>
  <si>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</si>
  <si>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</si>
  <si>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</si>
  <si>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</si>
  <si>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</si>
  <si>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</si>
  <si>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</si>
  <si>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</si>
  <si>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</si>
  <si>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</si>
  <si>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</si>
  <si>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</si>
  <si>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</si>
  <si>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</si>
  <si>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</si>
  <si>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</si>
  <si>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</si>
  <si>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</si>
  <si>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</si>
  <si>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</si>
  <si>
    <t>C00702</t>
  </si>
  <si>
    <t>Ajith Nandana Bandara</t>
  </si>
  <si>
    <t>C00106</t>
  </si>
  <si>
    <t>S.L.M.Farook</t>
  </si>
  <si>
    <t>C00614</t>
  </si>
  <si>
    <t>Dr.Marsook - M.M.Farook</t>
  </si>
  <si>
    <t>C00845</t>
  </si>
  <si>
    <t>Shawuky Farook-SA Farm</t>
  </si>
  <si>
    <t>Ottamavil</t>
  </si>
  <si>
    <t>E.Desman Fernando</t>
  </si>
  <si>
    <t>C00557</t>
  </si>
  <si>
    <t>Wattakkaliya Farm</t>
  </si>
  <si>
    <t>C00860</t>
  </si>
  <si>
    <t>W.J.M.Priyantha Fernando</t>
  </si>
  <si>
    <t>Sumith Niroshan</t>
  </si>
  <si>
    <t>C00169</t>
  </si>
  <si>
    <t>C00635</t>
  </si>
  <si>
    <t>W.Sujan Benadict Fernando</t>
  </si>
  <si>
    <t>C00430</t>
  </si>
  <si>
    <t>Ark Lanka (Pvt) Ltd</t>
  </si>
  <si>
    <t>Noordeen.M.Ameen</t>
  </si>
  <si>
    <t>C00826</t>
  </si>
  <si>
    <t>M.S.M.Niyas</t>
  </si>
  <si>
    <t>C00223</t>
  </si>
  <si>
    <t>B.Velayudan</t>
  </si>
  <si>
    <t>C00824</t>
  </si>
  <si>
    <t>G D Upali Senaka</t>
  </si>
  <si>
    <t>C00724</t>
  </si>
  <si>
    <t>C00141</t>
  </si>
  <si>
    <t>J.Niranjan Perera</t>
  </si>
  <si>
    <t>C00217</t>
  </si>
  <si>
    <t>C00220</t>
  </si>
  <si>
    <t>J.Antoney Fernando</t>
  </si>
  <si>
    <t xml:space="preserve"> Muthupanthiya</t>
  </si>
  <si>
    <t>C00645</t>
  </si>
  <si>
    <t>W. Amith Nuwan Tisera</t>
  </si>
  <si>
    <t>C00582</t>
  </si>
  <si>
    <t>Susil Priyantha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</si>
</sst>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400" totalsRowShown="0" headerRowDxfId="13" dataDxfId="12">
  <autoFilter ref="A1:L400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"/>
  <sheetViews>
    <sheetView tabSelected="1" topLeftCell="A373" workbookViewId="0">
      <selection activeCell="H400" sqref="H400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562</v>
      </c>
      <c r="J1" s="2" t="s">
        <v>563</v>
      </c>
      <c r="K1" s="2" t="s">
        <v>591</v>
      </c>
      <c r="L1" s="6" t="s">
        <v>973</v>
      </c>
    </row>
    <row r="2" spans="1:12" x14ac:dyDescent="0.25">
      <c r="A2" s="1" t="s">
        <v>226</v>
      </c>
      <c r="B2" s="1" t="s">
        <v>227</v>
      </c>
      <c r="C2" s="1" t="s">
        <v>637</v>
      </c>
      <c r="D2" s="1" t="s">
        <v>638</v>
      </c>
      <c r="E2" s="1" t="s">
        <v>653</v>
      </c>
      <c r="F2" s="1"/>
      <c r="G2" s="1" t="s">
        <v>553</v>
      </c>
      <c r="H2" s="1">
        <v>776971842</v>
      </c>
      <c r="I2" s="1"/>
      <c r="J2" s="1"/>
      <c r="K2" s="1" t="s">
        <v>592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394</v>
      </c>
      <c r="B3" s="1" t="s">
        <v>395</v>
      </c>
      <c r="C3" s="1" t="s">
        <v>637</v>
      </c>
      <c r="D3" s="1" t="s">
        <v>639</v>
      </c>
      <c r="E3" s="1" t="s">
        <v>648</v>
      </c>
      <c r="F3" s="1"/>
      <c r="G3" s="1" t="s">
        <v>554</v>
      </c>
      <c r="H3" s="1">
        <v>766006867</v>
      </c>
      <c r="I3" s="1"/>
      <c r="J3" s="1"/>
      <c r="K3" s="1" t="s">
        <v>592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485</v>
      </c>
      <c r="B4" s="1" t="s">
        <v>486</v>
      </c>
      <c r="C4" s="1" t="s">
        <v>637</v>
      </c>
      <c r="D4" s="1" t="s">
        <v>636</v>
      </c>
      <c r="E4" s="1" t="s">
        <v>666</v>
      </c>
      <c r="F4" s="1"/>
      <c r="G4" s="1" t="s">
        <v>551</v>
      </c>
      <c r="H4" s="1">
        <v>771555301</v>
      </c>
      <c r="I4" s="1"/>
      <c r="J4" s="1"/>
      <c r="K4" s="1" t="s">
        <v>600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637</v>
      </c>
      <c r="D5" s="1" t="s">
        <v>636</v>
      </c>
      <c r="E5" s="1" t="s">
        <v>671</v>
      </c>
      <c r="F5" s="1"/>
      <c r="G5" s="1" t="s">
        <v>551</v>
      </c>
      <c r="H5" s="1">
        <v>772958820</v>
      </c>
      <c r="I5" s="1"/>
      <c r="J5" s="1"/>
      <c r="K5" s="1" t="s">
        <v>592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815</v>
      </c>
      <c r="C6" s="1" t="s">
        <v>816</v>
      </c>
      <c r="D6" s="1" t="s">
        <v>638</v>
      </c>
      <c r="E6" s="1" t="s">
        <v>653</v>
      </c>
      <c r="F6" s="1"/>
      <c r="G6" s="1" t="s">
        <v>553</v>
      </c>
      <c r="H6" s="1">
        <v>777768836</v>
      </c>
      <c r="I6" s="1" t="s">
        <v>580</v>
      </c>
      <c r="J6" s="1"/>
      <c r="K6" s="1" t="s">
        <v>592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637</v>
      </c>
      <c r="D7" s="1" t="s">
        <v>638</v>
      </c>
      <c r="E7" s="1" t="s">
        <v>654</v>
      </c>
      <c r="F7" s="1"/>
      <c r="G7" s="1" t="s">
        <v>553</v>
      </c>
      <c r="H7" s="1">
        <v>777000000</v>
      </c>
      <c r="I7" s="1" t="s">
        <v>574</v>
      </c>
      <c r="J7" s="1"/>
      <c r="K7" s="1" t="s">
        <v>592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404</v>
      </c>
      <c r="B8" s="1" t="s">
        <v>903</v>
      </c>
      <c r="C8" s="1" t="s">
        <v>904</v>
      </c>
      <c r="D8" s="1" t="s">
        <v>639</v>
      </c>
      <c r="E8" s="1" t="s">
        <v>649</v>
      </c>
      <c r="F8" s="1"/>
      <c r="G8" s="1" t="s">
        <v>554</v>
      </c>
      <c r="H8" s="1">
        <v>777870912</v>
      </c>
      <c r="I8" s="1"/>
      <c r="J8" s="1"/>
      <c r="K8" s="1" t="s">
        <v>592</v>
      </c>
      <c r="L8" s="7" t="str">
        <f>CONCATENATE(A8, " - ", Table1[[#This Row],[Farm Name]])</f>
        <v>C00667 -  Dimuthu Farm</v>
      </c>
    </row>
    <row r="9" spans="1:12" x14ac:dyDescent="0.25">
      <c r="A9" s="1" t="s">
        <v>406</v>
      </c>
      <c r="B9" s="4" t="s">
        <v>903</v>
      </c>
      <c r="C9" s="1" t="s">
        <v>906</v>
      </c>
      <c r="D9" s="1" t="s">
        <v>636</v>
      </c>
      <c r="E9" s="1" t="s">
        <v>663</v>
      </c>
      <c r="F9" s="1"/>
      <c r="G9" s="1" t="s">
        <v>551</v>
      </c>
      <c r="H9" s="1">
        <v>777870912</v>
      </c>
      <c r="I9" s="1" t="s">
        <v>588</v>
      </c>
      <c r="J9" s="1"/>
      <c r="K9" s="1" t="s">
        <v>592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410</v>
      </c>
      <c r="B10" s="1" t="s">
        <v>903</v>
      </c>
      <c r="C10" s="1" t="s">
        <v>907</v>
      </c>
      <c r="D10" s="1" t="s">
        <v>638</v>
      </c>
      <c r="E10" s="1" t="s">
        <v>654</v>
      </c>
      <c r="F10" s="1"/>
      <c r="G10" s="1" t="s">
        <v>553</v>
      </c>
      <c r="H10" s="1">
        <v>777870912</v>
      </c>
      <c r="I10" s="1"/>
      <c r="J10" s="1"/>
      <c r="K10" s="1" t="s">
        <v>592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859</v>
      </c>
      <c r="C11" s="1" t="s">
        <v>860</v>
      </c>
      <c r="D11" s="1" t="s">
        <v>638</v>
      </c>
      <c r="E11" s="1" t="s">
        <v>653</v>
      </c>
      <c r="F11" s="1"/>
      <c r="G11" s="1" t="s">
        <v>553</v>
      </c>
      <c r="H11" s="1">
        <v>770037169</v>
      </c>
      <c r="I11" s="1"/>
      <c r="J11" s="1"/>
      <c r="K11" s="1" t="s">
        <v>592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637</v>
      </c>
      <c r="D12" s="1" t="s">
        <v>636</v>
      </c>
      <c r="E12" s="1" t="s">
        <v>646</v>
      </c>
      <c r="F12" s="1"/>
      <c r="G12" s="1" t="s">
        <v>551</v>
      </c>
      <c r="H12" s="1">
        <v>776929510</v>
      </c>
      <c r="I12" s="1" t="s">
        <v>569</v>
      </c>
      <c r="J12" s="1"/>
      <c r="K12" s="1" t="s">
        <v>592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637</v>
      </c>
      <c r="D13" s="1" t="s">
        <v>638</v>
      </c>
      <c r="E13" s="1" t="s">
        <v>653</v>
      </c>
      <c r="F13" s="1"/>
      <c r="G13" s="1" t="s">
        <v>553</v>
      </c>
      <c r="H13" s="1"/>
      <c r="I13" s="1">
        <v>322265638</v>
      </c>
      <c r="J13" s="1"/>
      <c r="K13" s="1" t="s">
        <v>592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637</v>
      </c>
      <c r="D14" s="1" t="s">
        <v>639</v>
      </c>
      <c r="E14" s="1">
        <v>0</v>
      </c>
      <c r="F14" s="1"/>
      <c r="G14" s="1" t="s">
        <v>554</v>
      </c>
      <c r="H14" s="1">
        <v>771311495</v>
      </c>
      <c r="I14" s="1"/>
      <c r="J14" s="1"/>
      <c r="K14" s="1" t="s">
        <v>592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785</v>
      </c>
      <c r="C15" s="1" t="s">
        <v>786</v>
      </c>
      <c r="D15" s="1" t="s">
        <v>638</v>
      </c>
      <c r="E15" s="1" t="s">
        <v>955</v>
      </c>
      <c r="F15" s="1"/>
      <c r="G15" s="1" t="s">
        <v>553</v>
      </c>
      <c r="H15" s="1">
        <v>773555022</v>
      </c>
      <c r="I15" s="1" t="s">
        <v>575</v>
      </c>
      <c r="J15" s="1"/>
      <c r="K15" s="1" t="s">
        <v>592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428</v>
      </c>
      <c r="B16" s="1" t="s">
        <v>785</v>
      </c>
      <c r="C16" s="1" t="s">
        <v>912</v>
      </c>
      <c r="D16" s="1" t="s">
        <v>638</v>
      </c>
      <c r="E16" s="1" t="s">
        <v>661</v>
      </c>
      <c r="F16" s="1"/>
      <c r="G16" s="1" t="s">
        <v>553</v>
      </c>
      <c r="H16" s="1">
        <v>773555022</v>
      </c>
      <c r="I16" s="1" t="s">
        <v>575</v>
      </c>
      <c r="J16" s="1"/>
      <c r="K16" s="1" t="s">
        <v>592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691</v>
      </c>
      <c r="C17" s="1" t="s">
        <v>692</v>
      </c>
      <c r="D17" s="1" t="s">
        <v>638</v>
      </c>
      <c r="E17" s="1" t="s">
        <v>650</v>
      </c>
      <c r="F17" s="1"/>
      <c r="G17" s="1" t="s">
        <v>553</v>
      </c>
      <c r="H17" s="1">
        <v>777222882</v>
      </c>
      <c r="I17" s="1"/>
      <c r="J17" s="1"/>
      <c r="K17" s="1" t="s">
        <v>592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691</v>
      </c>
      <c r="C18" s="1" t="s">
        <v>693</v>
      </c>
      <c r="D18" s="1" t="s">
        <v>638</v>
      </c>
      <c r="E18" s="1" t="s">
        <v>650</v>
      </c>
      <c r="F18" s="1"/>
      <c r="G18" s="1" t="s">
        <v>553</v>
      </c>
      <c r="H18" s="1">
        <v>777222882</v>
      </c>
      <c r="I18" s="1"/>
      <c r="J18" s="1"/>
      <c r="K18" s="1" t="s">
        <v>592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691</v>
      </c>
      <c r="C19" s="1" t="s">
        <v>694</v>
      </c>
      <c r="D19" s="1" t="s">
        <v>638</v>
      </c>
      <c r="E19" s="1" t="s">
        <v>651</v>
      </c>
      <c r="F19" s="1"/>
      <c r="G19" s="1" t="s">
        <v>553</v>
      </c>
      <c r="H19" s="1">
        <v>777222882</v>
      </c>
      <c r="I19" s="1"/>
      <c r="J19" s="1"/>
      <c r="K19" s="1" t="s">
        <v>592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691</v>
      </c>
      <c r="C20" s="1" t="s">
        <v>695</v>
      </c>
      <c r="D20" s="1" t="s">
        <v>638</v>
      </c>
      <c r="E20" s="1" t="s">
        <v>651</v>
      </c>
      <c r="F20" s="1"/>
      <c r="G20" s="1" t="s">
        <v>553</v>
      </c>
      <c r="H20" s="1">
        <v>777222882</v>
      </c>
      <c r="I20" s="1"/>
      <c r="J20" s="1"/>
      <c r="K20" s="1" t="s">
        <v>592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691</v>
      </c>
      <c r="C21" s="1" t="s">
        <v>696</v>
      </c>
      <c r="D21" s="1" t="s">
        <v>638</v>
      </c>
      <c r="E21" s="1" t="s">
        <v>652</v>
      </c>
      <c r="F21" s="1"/>
      <c r="G21" s="1" t="s">
        <v>553</v>
      </c>
      <c r="H21" s="1">
        <v>777222882</v>
      </c>
      <c r="I21" s="1"/>
      <c r="J21" s="1"/>
      <c r="K21" s="1" t="s">
        <v>592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691</v>
      </c>
      <c r="C22" s="1" t="s">
        <v>697</v>
      </c>
      <c r="D22" s="1" t="s">
        <v>638</v>
      </c>
      <c r="E22" s="1" t="s">
        <v>653</v>
      </c>
      <c r="F22" s="1"/>
      <c r="G22" s="1" t="s">
        <v>553</v>
      </c>
      <c r="H22" s="1">
        <v>777222882</v>
      </c>
      <c r="I22" s="1"/>
      <c r="J22" s="1"/>
      <c r="K22" s="1" t="s">
        <v>592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691</v>
      </c>
      <c r="C23" s="1" t="s">
        <v>698</v>
      </c>
      <c r="D23" s="1" t="s">
        <v>638</v>
      </c>
      <c r="E23" s="1" t="s">
        <v>653</v>
      </c>
      <c r="F23" s="1"/>
      <c r="G23" s="1" t="s">
        <v>553</v>
      </c>
      <c r="H23" s="1">
        <v>775181865</v>
      </c>
      <c r="I23" s="1"/>
      <c r="J23" s="1"/>
      <c r="K23" s="1" t="s">
        <v>592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691</v>
      </c>
      <c r="C24" s="1" t="s">
        <v>699</v>
      </c>
      <c r="D24" s="1" t="s">
        <v>638</v>
      </c>
      <c r="E24" s="1" t="s">
        <v>654</v>
      </c>
      <c r="F24" s="1"/>
      <c r="G24" s="1" t="s">
        <v>553</v>
      </c>
      <c r="H24" s="1">
        <v>777222882</v>
      </c>
      <c r="I24" s="1"/>
      <c r="J24" s="1"/>
      <c r="K24" s="1" t="s">
        <v>592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841</v>
      </c>
      <c r="C25" s="1" t="s">
        <v>842</v>
      </c>
      <c r="D25" s="1" t="s">
        <v>638</v>
      </c>
      <c r="E25" s="1" t="s">
        <v>653</v>
      </c>
      <c r="F25" s="1"/>
      <c r="G25" s="1" t="s">
        <v>553</v>
      </c>
      <c r="H25" s="1">
        <v>777800400</v>
      </c>
      <c r="I25" s="1"/>
      <c r="J25" s="1"/>
      <c r="K25" s="1" t="s">
        <v>592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637</v>
      </c>
      <c r="D26" s="1" t="s">
        <v>639</v>
      </c>
      <c r="E26" s="1" t="s">
        <v>648</v>
      </c>
      <c r="F26" s="1"/>
      <c r="G26" s="1" t="s">
        <v>554</v>
      </c>
      <c r="H26" s="1">
        <v>770513863</v>
      </c>
      <c r="I26" s="1"/>
      <c r="J26" s="1"/>
      <c r="K26" s="1" t="s">
        <v>592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637</v>
      </c>
      <c r="D27" s="1" t="s">
        <v>655</v>
      </c>
      <c r="E27" s="1" t="s">
        <v>656</v>
      </c>
      <c r="F27" s="1"/>
      <c r="G27" s="1" t="s">
        <v>554</v>
      </c>
      <c r="H27" s="1">
        <v>777783756</v>
      </c>
      <c r="I27" s="1"/>
      <c r="J27" s="1"/>
      <c r="K27" s="1" t="s">
        <v>592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823</v>
      </c>
      <c r="C28" s="1" t="s">
        <v>824</v>
      </c>
      <c r="D28" s="1" t="s">
        <v>638</v>
      </c>
      <c r="E28" s="1" t="s">
        <v>653</v>
      </c>
      <c r="F28" s="1"/>
      <c r="G28" s="1" t="s">
        <v>553</v>
      </c>
      <c r="H28" s="1">
        <v>779225904</v>
      </c>
      <c r="I28" s="1"/>
      <c r="J28" s="1"/>
      <c r="K28" s="1" t="s">
        <v>592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823</v>
      </c>
      <c r="C29" s="1" t="s">
        <v>825</v>
      </c>
      <c r="D29" s="1" t="s">
        <v>638</v>
      </c>
      <c r="E29" s="1" t="s">
        <v>653</v>
      </c>
      <c r="F29" s="1"/>
      <c r="G29" s="1" t="s">
        <v>553</v>
      </c>
      <c r="H29" s="1">
        <v>779225904</v>
      </c>
      <c r="I29" s="1"/>
      <c r="J29" s="1"/>
      <c r="K29" s="1" t="s">
        <v>592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823</v>
      </c>
      <c r="C30" s="1" t="s">
        <v>826</v>
      </c>
      <c r="D30" s="1" t="s">
        <v>638</v>
      </c>
      <c r="E30" s="4" t="s">
        <v>653</v>
      </c>
      <c r="F30" s="1"/>
      <c r="G30" s="1" t="s">
        <v>553</v>
      </c>
      <c r="H30" s="1">
        <v>779225904</v>
      </c>
      <c r="I30" s="1"/>
      <c r="J30" s="1"/>
      <c r="K30" s="1" t="s">
        <v>592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823</v>
      </c>
      <c r="C31" s="1" t="s">
        <v>827</v>
      </c>
      <c r="D31" s="1" t="s">
        <v>638</v>
      </c>
      <c r="E31" s="1" t="s">
        <v>653</v>
      </c>
      <c r="F31" s="1"/>
      <c r="G31" s="1" t="s">
        <v>553</v>
      </c>
      <c r="H31" s="1">
        <v>779225904</v>
      </c>
      <c r="I31" s="1"/>
      <c r="J31" s="1"/>
      <c r="K31" s="1" t="s">
        <v>592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823</v>
      </c>
      <c r="C32" s="1" t="s">
        <v>828</v>
      </c>
      <c r="D32" s="1" t="s">
        <v>638</v>
      </c>
      <c r="E32" s="1" t="s">
        <v>653</v>
      </c>
      <c r="F32" s="1"/>
      <c r="G32" s="1" t="s">
        <v>553</v>
      </c>
      <c r="H32" s="1">
        <v>779225904</v>
      </c>
      <c r="I32" s="1"/>
      <c r="J32" s="1"/>
      <c r="K32" s="1" t="s">
        <v>592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823</v>
      </c>
      <c r="C33" s="1" t="s">
        <v>829</v>
      </c>
      <c r="D33" s="1" t="s">
        <v>638</v>
      </c>
      <c r="E33" s="1" t="s">
        <v>653</v>
      </c>
      <c r="F33" s="1"/>
      <c r="G33" s="1" t="s">
        <v>553</v>
      </c>
      <c r="H33" s="1">
        <v>779225904</v>
      </c>
      <c r="I33" s="1"/>
      <c r="J33" s="1"/>
      <c r="K33" s="1" t="s">
        <v>592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637</v>
      </c>
      <c r="D34" s="1" t="s">
        <v>638</v>
      </c>
      <c r="E34" s="1" t="s">
        <v>653</v>
      </c>
      <c r="F34" s="1"/>
      <c r="G34" s="1" t="s">
        <v>553</v>
      </c>
      <c r="H34" s="1">
        <v>776964361</v>
      </c>
      <c r="I34" s="1"/>
      <c r="J34" s="1"/>
      <c r="K34" s="1" t="s">
        <v>592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382</v>
      </c>
      <c r="B35" s="1" t="s">
        <v>383</v>
      </c>
      <c r="C35" s="1" t="s">
        <v>637</v>
      </c>
      <c r="D35" s="1" t="s">
        <v>638</v>
      </c>
      <c r="E35" s="1" t="s">
        <v>653</v>
      </c>
      <c r="F35" s="1"/>
      <c r="G35" s="1" t="s">
        <v>553</v>
      </c>
      <c r="H35" s="1">
        <v>776964361</v>
      </c>
      <c r="I35" s="1"/>
      <c r="J35" s="1"/>
      <c r="K35" s="1" t="s">
        <v>592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637</v>
      </c>
      <c r="D36" s="1" t="s">
        <v>655</v>
      </c>
      <c r="E36" s="1" t="s">
        <v>657</v>
      </c>
      <c r="F36" s="1"/>
      <c r="G36" s="1" t="s">
        <v>554</v>
      </c>
      <c r="H36" s="1">
        <v>777768785</v>
      </c>
      <c r="I36" s="1"/>
      <c r="J36" s="1"/>
      <c r="K36" s="1" t="s">
        <v>592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417</v>
      </c>
      <c r="B37" s="1" t="s">
        <v>418</v>
      </c>
      <c r="C37" s="1" t="s">
        <v>637</v>
      </c>
      <c r="D37" s="1" t="s">
        <v>639</v>
      </c>
      <c r="E37" s="8" t="s">
        <v>957</v>
      </c>
      <c r="F37" s="1"/>
      <c r="G37" s="1" t="s">
        <v>554</v>
      </c>
      <c r="H37" s="1" t="s">
        <v>559</v>
      </c>
      <c r="I37" s="1"/>
      <c r="J37" s="1" t="s">
        <v>589</v>
      </c>
      <c r="K37" s="1" t="s">
        <v>592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749</v>
      </c>
      <c r="C38" s="1" t="s">
        <v>750</v>
      </c>
      <c r="D38" s="1" t="s">
        <v>639</v>
      </c>
      <c r="E38" s="1" t="s">
        <v>949</v>
      </c>
      <c r="F38" s="1"/>
      <c r="G38" s="1" t="s">
        <v>554</v>
      </c>
      <c r="H38" s="1">
        <v>767489191</v>
      </c>
      <c r="I38" s="1"/>
      <c r="J38" s="1"/>
      <c r="K38" s="1" t="s">
        <v>592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714</v>
      </c>
      <c r="C39" s="1" t="s">
        <v>715</v>
      </c>
      <c r="D39" s="1" t="s">
        <v>655</v>
      </c>
      <c r="E39" t="s">
        <v>965</v>
      </c>
      <c r="F39" s="1"/>
      <c r="G39" s="1" t="s">
        <v>554</v>
      </c>
      <c r="H39" s="1">
        <v>767977199</v>
      </c>
      <c r="I39" s="1"/>
      <c r="J39" s="1"/>
      <c r="K39" s="1" t="s">
        <v>592</v>
      </c>
      <c r="L39" s="7" t="str">
        <f>CONCATENATE(A39, " - ", Table1[[#This Row],[Farm Name]])</f>
        <v>C00077 - Rameem Farm</v>
      </c>
    </row>
    <row r="40" spans="1:12" x14ac:dyDescent="0.25">
      <c r="A40" s="1" t="s">
        <v>541</v>
      </c>
      <c r="B40" s="1" t="s">
        <v>941</v>
      </c>
      <c r="C40" s="1" t="s">
        <v>942</v>
      </c>
      <c r="D40" s="1" t="s">
        <v>638</v>
      </c>
      <c r="E40" s="1" t="s">
        <v>653</v>
      </c>
      <c r="F40" s="1"/>
      <c r="G40" s="1" t="s">
        <v>553</v>
      </c>
      <c r="H40" s="1">
        <v>777328305</v>
      </c>
      <c r="I40" s="1"/>
      <c r="J40" s="1"/>
      <c r="K40" s="1" t="s">
        <v>631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953</v>
      </c>
      <c r="D41" s="1" t="s">
        <v>638</v>
      </c>
      <c r="E41" s="1" t="s">
        <v>653</v>
      </c>
      <c r="F41" s="1"/>
      <c r="G41" s="1" t="s">
        <v>553</v>
      </c>
      <c r="H41" s="1">
        <v>777328305</v>
      </c>
      <c r="I41" s="1"/>
      <c r="J41" s="1"/>
      <c r="K41" s="1" t="s">
        <v>592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700</v>
      </c>
      <c r="C42" s="1" t="s">
        <v>701</v>
      </c>
      <c r="D42" s="1" t="s">
        <v>638</v>
      </c>
      <c r="E42" s="1" t="s">
        <v>650</v>
      </c>
      <c r="F42" s="1"/>
      <c r="G42" s="1" t="s">
        <v>553</v>
      </c>
      <c r="H42" s="1">
        <v>777328305</v>
      </c>
      <c r="I42" s="1"/>
      <c r="J42" s="1"/>
      <c r="K42" s="1" t="s">
        <v>592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700</v>
      </c>
      <c r="C43" s="1" t="s">
        <v>702</v>
      </c>
      <c r="D43" s="1" t="s">
        <v>638</v>
      </c>
      <c r="E43" s="1" t="s">
        <v>653</v>
      </c>
      <c r="F43" s="1"/>
      <c r="G43" s="1" t="s">
        <v>553</v>
      </c>
      <c r="H43" s="1">
        <v>777328305</v>
      </c>
      <c r="I43" s="1"/>
      <c r="J43" s="1"/>
      <c r="K43" s="1" t="s">
        <v>592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700</v>
      </c>
      <c r="C44" s="1" t="s">
        <v>703</v>
      </c>
      <c r="D44" s="1" t="s">
        <v>638</v>
      </c>
      <c r="E44" s="4" t="s">
        <v>650</v>
      </c>
      <c r="F44" s="1"/>
      <c r="G44" s="1" t="s">
        <v>553</v>
      </c>
      <c r="H44" s="1">
        <v>777328305</v>
      </c>
      <c r="I44" s="1"/>
      <c r="J44" s="1"/>
      <c r="K44" s="1" t="s">
        <v>592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700</v>
      </c>
      <c r="C45" s="1" t="s">
        <v>704</v>
      </c>
      <c r="D45" s="1" t="s">
        <v>638</v>
      </c>
      <c r="E45" s="1" t="s">
        <v>650</v>
      </c>
      <c r="F45" s="1"/>
      <c r="G45" s="1" t="s">
        <v>553</v>
      </c>
      <c r="H45" s="1">
        <v>777328305</v>
      </c>
      <c r="I45" s="1"/>
      <c r="J45" s="1"/>
      <c r="K45" s="1" t="s">
        <v>592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700</v>
      </c>
      <c r="C46" s="1" t="s">
        <v>705</v>
      </c>
      <c r="D46" s="1" t="s">
        <v>638</v>
      </c>
      <c r="E46" s="1" t="s">
        <v>650</v>
      </c>
      <c r="F46" s="1"/>
      <c r="G46" s="1" t="s">
        <v>553</v>
      </c>
      <c r="H46" s="1">
        <v>777328305</v>
      </c>
      <c r="I46" s="1"/>
      <c r="J46" s="1"/>
      <c r="K46" s="1" t="s">
        <v>592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700</v>
      </c>
      <c r="C47" s="1" t="s">
        <v>706</v>
      </c>
      <c r="D47" s="1" t="s">
        <v>638</v>
      </c>
      <c r="E47" s="1" t="s">
        <v>952</v>
      </c>
      <c r="F47" s="1"/>
      <c r="G47" s="1" t="s">
        <v>553</v>
      </c>
      <c r="H47" s="1">
        <v>777328305</v>
      </c>
      <c r="I47" s="1"/>
      <c r="J47" s="1"/>
      <c r="K47" s="1" t="s">
        <v>592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700</v>
      </c>
      <c r="C48" s="1" t="s">
        <v>707</v>
      </c>
      <c r="D48" s="1" t="s">
        <v>638</v>
      </c>
      <c r="E48" s="4" t="s">
        <v>653</v>
      </c>
      <c r="F48" s="1"/>
      <c r="G48" s="1" t="s">
        <v>553</v>
      </c>
      <c r="H48" s="1">
        <v>777328305</v>
      </c>
      <c r="I48" s="1"/>
      <c r="J48" s="1"/>
      <c r="K48" s="1" t="s">
        <v>592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700</v>
      </c>
      <c r="C49" s="1" t="s">
        <v>708</v>
      </c>
      <c r="D49" s="1" t="s">
        <v>638</v>
      </c>
      <c r="E49" s="1" t="s">
        <v>653</v>
      </c>
      <c r="F49" s="1"/>
      <c r="G49" s="1" t="s">
        <v>553</v>
      </c>
      <c r="H49" s="1">
        <v>777328305</v>
      </c>
      <c r="I49" s="1"/>
      <c r="J49" s="1"/>
      <c r="K49" s="1" t="s">
        <v>592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700</v>
      </c>
      <c r="C50" s="1" t="s">
        <v>709</v>
      </c>
      <c r="D50" s="1" t="s">
        <v>638</v>
      </c>
      <c r="E50" s="1" t="s">
        <v>647</v>
      </c>
      <c r="F50" s="1"/>
      <c r="G50" s="1" t="s">
        <v>553</v>
      </c>
      <c r="H50" s="1">
        <v>777328305</v>
      </c>
      <c r="I50" s="1"/>
      <c r="J50" s="1"/>
      <c r="K50" s="1" t="s">
        <v>592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700</v>
      </c>
      <c r="C51" s="1" t="s">
        <v>710</v>
      </c>
      <c r="D51" s="1" t="s">
        <v>638</v>
      </c>
      <c r="E51" s="1" t="s">
        <v>651</v>
      </c>
      <c r="F51" s="1"/>
      <c r="G51" s="1" t="s">
        <v>553</v>
      </c>
      <c r="H51" s="1">
        <v>777328305</v>
      </c>
      <c r="I51" s="1"/>
      <c r="J51" s="1"/>
      <c r="K51" s="1" t="s">
        <v>592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700</v>
      </c>
      <c r="C52" s="1" t="s">
        <v>711</v>
      </c>
      <c r="D52" s="1" t="s">
        <v>638</v>
      </c>
      <c r="E52" s="1" t="s">
        <v>654</v>
      </c>
      <c r="F52" s="1"/>
      <c r="G52" s="1" t="s">
        <v>553</v>
      </c>
      <c r="H52" s="1">
        <v>777328305</v>
      </c>
      <c r="I52" s="1"/>
      <c r="J52" s="1"/>
      <c r="K52" s="1" t="s">
        <v>592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700</v>
      </c>
      <c r="C53" s="1" t="s">
        <v>712</v>
      </c>
      <c r="D53" s="1" t="s">
        <v>638</v>
      </c>
      <c r="E53" s="1" t="s">
        <v>651</v>
      </c>
      <c r="F53" s="1"/>
      <c r="G53" s="1" t="s">
        <v>553</v>
      </c>
      <c r="H53" s="1">
        <v>777328305</v>
      </c>
      <c r="I53" s="1"/>
      <c r="J53" s="1"/>
      <c r="K53" s="1" t="s">
        <v>592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700</v>
      </c>
      <c r="C54" s="1" t="s">
        <v>713</v>
      </c>
      <c r="D54" s="1" t="s">
        <v>638</v>
      </c>
      <c r="E54" s="1" t="s">
        <v>651</v>
      </c>
      <c r="F54" s="1"/>
      <c r="G54" s="1" t="s">
        <v>553</v>
      </c>
      <c r="H54" s="1">
        <v>777328305</v>
      </c>
      <c r="I54" s="1"/>
      <c r="J54" s="1"/>
      <c r="K54" s="1" t="s">
        <v>592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637</v>
      </c>
      <c r="D55" s="1" t="s">
        <v>655</v>
      </c>
      <c r="E55" s="1" t="s">
        <v>660</v>
      </c>
      <c r="F55" s="1"/>
      <c r="G55" s="1" t="s">
        <v>554</v>
      </c>
      <c r="H55" s="1">
        <v>770503490</v>
      </c>
      <c r="I55" s="1"/>
      <c r="J55" s="1"/>
      <c r="K55" s="1" t="s">
        <v>592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637</v>
      </c>
      <c r="D56" s="1" t="s">
        <v>638</v>
      </c>
      <c r="E56" t="s">
        <v>962</v>
      </c>
      <c r="F56" s="1"/>
      <c r="G56" s="1" t="s">
        <v>553</v>
      </c>
      <c r="H56" s="1">
        <v>755670664</v>
      </c>
      <c r="I56" s="1"/>
      <c r="J56" s="1"/>
      <c r="K56" s="1" t="s">
        <v>592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396</v>
      </c>
      <c r="B57" s="1" t="s">
        <v>397</v>
      </c>
      <c r="C57" s="1" t="s">
        <v>637</v>
      </c>
      <c r="D57" s="1" t="s">
        <v>639</v>
      </c>
      <c r="E57" s="1" t="s">
        <v>644</v>
      </c>
      <c r="F57" s="1"/>
      <c r="G57" s="1" t="s">
        <v>554</v>
      </c>
      <c r="H57" s="1">
        <v>777311499</v>
      </c>
      <c r="I57" s="1"/>
      <c r="J57" s="1"/>
      <c r="K57" s="1" t="s">
        <v>592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637</v>
      </c>
      <c r="D58" s="1" t="s">
        <v>638</v>
      </c>
      <c r="E58" s="1" t="s">
        <v>654</v>
      </c>
      <c r="F58" s="1"/>
      <c r="G58" s="1" t="s">
        <v>553</v>
      </c>
      <c r="H58" s="1">
        <v>773861247</v>
      </c>
      <c r="I58" s="1" t="s">
        <v>582</v>
      </c>
      <c r="J58" s="1"/>
      <c r="K58" s="1" t="s">
        <v>592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975</v>
      </c>
      <c r="C59" s="1" t="s">
        <v>974</v>
      </c>
      <c r="D59" s="1" t="s">
        <v>636</v>
      </c>
      <c r="E59" s="1" t="s">
        <v>668</v>
      </c>
      <c r="F59" s="1"/>
      <c r="G59" s="1" t="s">
        <v>552</v>
      </c>
      <c r="H59" s="1">
        <v>779045607</v>
      </c>
      <c r="I59" s="1"/>
      <c r="J59" s="1"/>
      <c r="K59" s="1" t="s">
        <v>592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524</v>
      </c>
      <c r="B60" s="1" t="s">
        <v>525</v>
      </c>
      <c r="C60" s="1" t="s">
        <v>637</v>
      </c>
      <c r="D60" s="1" t="s">
        <v>636</v>
      </c>
      <c r="E60" s="1" t="s">
        <v>666</v>
      </c>
      <c r="F60" s="1"/>
      <c r="G60" s="1" t="s">
        <v>551</v>
      </c>
      <c r="H60" s="1">
        <v>778604079</v>
      </c>
      <c r="I60" s="1"/>
      <c r="J60" s="1"/>
      <c r="K60" s="1" t="s">
        <v>621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637</v>
      </c>
      <c r="D61" s="1" t="s">
        <v>636</v>
      </c>
      <c r="E61" s="1" t="s">
        <v>669</v>
      </c>
      <c r="F61" s="1"/>
      <c r="G61" s="1" t="s">
        <v>551</v>
      </c>
      <c r="H61" s="1">
        <v>769961898</v>
      </c>
      <c r="I61" s="1"/>
      <c r="J61" s="1"/>
      <c r="K61" s="1" t="s">
        <v>592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491</v>
      </c>
      <c r="B62" s="1" t="s">
        <v>474</v>
      </c>
      <c r="C62" s="1" t="s">
        <v>637</v>
      </c>
      <c r="D62" s="1" t="s">
        <v>639</v>
      </c>
      <c r="E62" s="1" t="s">
        <v>648</v>
      </c>
      <c r="F62" s="1"/>
      <c r="G62" s="1" t="s">
        <v>554</v>
      </c>
      <c r="H62" s="1">
        <v>741367728</v>
      </c>
      <c r="I62" s="1"/>
      <c r="J62" s="1"/>
      <c r="K62" s="1" t="s">
        <v>602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637</v>
      </c>
      <c r="D63" s="1" t="s">
        <v>636</v>
      </c>
      <c r="E63" s="1" t="s">
        <v>640</v>
      </c>
      <c r="F63" s="1"/>
      <c r="G63" s="1" t="s">
        <v>551</v>
      </c>
      <c r="H63" s="1"/>
      <c r="I63" s="1"/>
      <c r="J63" s="1"/>
      <c r="K63" s="1" t="s">
        <v>592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680</v>
      </c>
      <c r="C64" s="1" t="s">
        <v>681</v>
      </c>
      <c r="D64" s="1" t="s">
        <v>636</v>
      </c>
      <c r="E64" s="1" t="s">
        <v>642</v>
      </c>
      <c r="F64" s="1"/>
      <c r="G64" s="1" t="s">
        <v>551</v>
      </c>
      <c r="H64" s="1">
        <v>777556235</v>
      </c>
      <c r="I64" s="1"/>
      <c r="J64" s="1"/>
      <c r="K64" s="1" t="s">
        <v>592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445</v>
      </c>
      <c r="B65" s="1" t="s">
        <v>920</v>
      </c>
      <c r="C65" s="1" t="s">
        <v>921</v>
      </c>
      <c r="D65" s="1" t="s">
        <v>638</v>
      </c>
      <c r="E65" s="1" t="s">
        <v>673</v>
      </c>
      <c r="F65" s="1"/>
      <c r="G65" s="1" t="s">
        <v>553</v>
      </c>
      <c r="H65" s="1">
        <v>777249704</v>
      </c>
      <c r="I65" s="1"/>
      <c r="J65" s="1"/>
      <c r="K65" s="1" t="s">
        <v>592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874</v>
      </c>
      <c r="C66" s="1" t="s">
        <v>686</v>
      </c>
      <c r="D66" s="1" t="s">
        <v>638</v>
      </c>
      <c r="E66" s="1" t="s">
        <v>653</v>
      </c>
      <c r="F66" s="1"/>
      <c r="G66" s="1" t="s">
        <v>553</v>
      </c>
      <c r="H66" s="1">
        <v>777249704</v>
      </c>
      <c r="I66" s="1"/>
      <c r="J66" s="1"/>
      <c r="K66" s="1" t="s">
        <v>592</v>
      </c>
      <c r="L66" s="7" t="str">
        <f>CONCATENATE(A66, " - ", Table1[[#This Row],[Farm Name]])</f>
        <v>C00554 -  Farm 01</v>
      </c>
    </row>
    <row r="67" spans="1:12" x14ac:dyDescent="0.25">
      <c r="A67" s="1" t="s">
        <v>372</v>
      </c>
      <c r="B67" s="1" t="s">
        <v>874</v>
      </c>
      <c r="C67" s="1" t="s">
        <v>801</v>
      </c>
      <c r="D67" s="1" t="s">
        <v>638</v>
      </c>
      <c r="E67" s="1" t="s">
        <v>653</v>
      </c>
      <c r="F67" s="1"/>
      <c r="G67" s="1" t="s">
        <v>553</v>
      </c>
      <c r="H67" s="1">
        <v>777249704</v>
      </c>
      <c r="I67" s="1"/>
      <c r="J67" s="1"/>
      <c r="K67" s="1" t="s">
        <v>592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762</v>
      </c>
      <c r="C68" s="1" t="s">
        <v>763</v>
      </c>
      <c r="D68" s="1" t="s">
        <v>639</v>
      </c>
      <c r="E68" s="1">
        <v>0</v>
      </c>
      <c r="F68" s="1"/>
      <c r="G68" s="1" t="s">
        <v>554</v>
      </c>
      <c r="H68" s="1">
        <v>776960934</v>
      </c>
      <c r="I68" s="1"/>
      <c r="J68" s="1"/>
      <c r="K68" s="1" t="s">
        <v>592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762</v>
      </c>
      <c r="C69" s="1" t="s">
        <v>760</v>
      </c>
      <c r="D69" s="1" t="s">
        <v>638</v>
      </c>
      <c r="E69" s="1" t="s">
        <v>654</v>
      </c>
      <c r="F69" s="1"/>
      <c r="G69" s="1" t="s">
        <v>553</v>
      </c>
      <c r="H69" s="1">
        <v>776960934</v>
      </c>
      <c r="I69" s="1"/>
      <c r="J69" s="1"/>
      <c r="K69" s="1" t="s">
        <v>592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762</v>
      </c>
      <c r="C70" s="1" t="s">
        <v>764</v>
      </c>
      <c r="D70" s="1" t="s">
        <v>636</v>
      </c>
      <c r="E70" s="1" t="s">
        <v>667</v>
      </c>
      <c r="F70" s="1"/>
      <c r="G70" s="1" t="s">
        <v>551</v>
      </c>
      <c r="H70" s="1">
        <v>776960934</v>
      </c>
      <c r="I70" s="1"/>
      <c r="J70" s="1"/>
      <c r="K70" s="1" t="s">
        <v>592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793</v>
      </c>
      <c r="C71" s="1" t="s">
        <v>637</v>
      </c>
      <c r="D71" s="1" t="s">
        <v>638</v>
      </c>
      <c r="E71" s="1" t="s">
        <v>654</v>
      </c>
      <c r="F71" s="1"/>
      <c r="G71" s="1" t="s">
        <v>553</v>
      </c>
      <c r="H71" s="1">
        <v>713053864</v>
      </c>
      <c r="I71" s="1" t="s">
        <v>576</v>
      </c>
      <c r="J71" s="1"/>
      <c r="K71" s="1" t="s">
        <v>592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793</v>
      </c>
      <c r="C72" s="1" t="s">
        <v>794</v>
      </c>
      <c r="D72" s="1" t="s">
        <v>638</v>
      </c>
      <c r="E72" s="1" t="s">
        <v>654</v>
      </c>
      <c r="F72" s="1"/>
      <c r="G72" s="1" t="s">
        <v>553</v>
      </c>
      <c r="H72" s="1">
        <v>713053864</v>
      </c>
      <c r="I72" s="1" t="s">
        <v>576</v>
      </c>
      <c r="J72" s="1"/>
      <c r="K72" s="1" t="s">
        <v>592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793</v>
      </c>
      <c r="C73" s="1" t="s">
        <v>795</v>
      </c>
      <c r="D73" s="1" t="s">
        <v>638</v>
      </c>
      <c r="E73" s="1" t="s">
        <v>654</v>
      </c>
      <c r="F73" s="1"/>
      <c r="G73" s="1" t="s">
        <v>553</v>
      </c>
      <c r="H73" s="1">
        <v>713053864</v>
      </c>
      <c r="I73" s="1" t="s">
        <v>576</v>
      </c>
      <c r="J73" s="1"/>
      <c r="K73" s="1" t="s">
        <v>592</v>
      </c>
      <c r="L73" s="7" t="str">
        <f>CONCATENATE(A73, " - ", Table1[[#This Row],[Farm Name]])</f>
        <v>C00402 -  Family Farm</v>
      </c>
    </row>
    <row r="74" spans="1:12" x14ac:dyDescent="0.25">
      <c r="A74" s="1" t="s">
        <v>520</v>
      </c>
      <c r="B74" s="1" t="s">
        <v>521</v>
      </c>
      <c r="C74" s="1" t="s">
        <v>637</v>
      </c>
      <c r="D74" s="1" t="s">
        <v>636</v>
      </c>
      <c r="E74" s="1" t="s">
        <v>662</v>
      </c>
      <c r="F74" s="1"/>
      <c r="G74" s="1" t="s">
        <v>551</v>
      </c>
      <c r="H74" s="1">
        <v>775532025</v>
      </c>
      <c r="I74" s="1"/>
      <c r="J74" s="1"/>
      <c r="K74" s="1" t="s">
        <v>619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637</v>
      </c>
      <c r="D75" s="1" t="s">
        <v>636</v>
      </c>
      <c r="E75" s="1" t="s">
        <v>667</v>
      </c>
      <c r="F75" s="1"/>
      <c r="G75" s="1" t="s">
        <v>551</v>
      </c>
      <c r="H75" s="1">
        <v>771117456</v>
      </c>
      <c r="I75" s="1"/>
      <c r="J75" s="1"/>
      <c r="K75" s="1" t="s">
        <v>592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637</v>
      </c>
      <c r="D76" s="1" t="s">
        <v>636</v>
      </c>
      <c r="E76" s="1" t="s">
        <v>667</v>
      </c>
      <c r="F76" s="1"/>
      <c r="G76" s="1" t="s">
        <v>551</v>
      </c>
      <c r="H76" s="1">
        <v>771117456</v>
      </c>
      <c r="I76" s="1"/>
      <c r="J76" s="1"/>
      <c r="K76" s="1" t="s">
        <v>592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637</v>
      </c>
      <c r="D77" s="1" t="s">
        <v>636</v>
      </c>
      <c r="E77" s="1" t="s">
        <v>664</v>
      </c>
      <c r="F77" s="1"/>
      <c r="G77" s="1" t="s">
        <v>551</v>
      </c>
      <c r="H77" s="1">
        <v>702112487</v>
      </c>
      <c r="I77" s="1"/>
      <c r="J77" s="1"/>
      <c r="K77" s="1" t="s">
        <v>592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637</v>
      </c>
      <c r="D78" s="1" t="s">
        <v>636</v>
      </c>
      <c r="E78" s="1" t="s">
        <v>667</v>
      </c>
      <c r="F78" s="1"/>
      <c r="G78" s="1" t="s">
        <v>551</v>
      </c>
      <c r="H78" s="1">
        <v>776871458</v>
      </c>
      <c r="I78" s="1"/>
      <c r="J78" s="1"/>
      <c r="K78" s="1" t="s">
        <v>592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637</v>
      </c>
      <c r="D79" s="1" t="s">
        <v>636</v>
      </c>
      <c r="E79" s="1" t="s">
        <v>641</v>
      </c>
      <c r="F79" s="1"/>
      <c r="G79" s="1" t="s">
        <v>551</v>
      </c>
      <c r="H79" s="1">
        <v>773248441</v>
      </c>
      <c r="I79" s="1"/>
      <c r="J79" s="1"/>
      <c r="K79" s="1" t="s">
        <v>592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405</v>
      </c>
      <c r="B80" s="1" t="s">
        <v>732</v>
      </c>
      <c r="C80" s="1" t="s">
        <v>905</v>
      </c>
      <c r="D80" s="1" t="s">
        <v>655</v>
      </c>
      <c r="E80" s="1" t="s">
        <v>656</v>
      </c>
      <c r="F80" s="1"/>
      <c r="G80" s="1" t="s">
        <v>554</v>
      </c>
      <c r="H80" s="1">
        <v>776063869</v>
      </c>
      <c r="I80" s="1" t="s">
        <v>567</v>
      </c>
      <c r="J80" s="1"/>
      <c r="K80" s="1" t="s">
        <v>592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637</v>
      </c>
      <c r="D81" s="1" t="s">
        <v>638</v>
      </c>
      <c r="E81" s="1" t="s">
        <v>653</v>
      </c>
      <c r="F81" s="1"/>
      <c r="G81" s="1" t="s">
        <v>553</v>
      </c>
      <c r="H81" s="1">
        <v>775830880</v>
      </c>
      <c r="I81" s="1"/>
      <c r="J81" s="1"/>
      <c r="K81" s="1" t="s">
        <v>592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421</v>
      </c>
      <c r="B82" t="s">
        <v>968</v>
      </c>
      <c r="C82" s="1" t="s">
        <v>908</v>
      </c>
      <c r="D82" s="1" t="s">
        <v>639</v>
      </c>
      <c r="E82" s="1" t="s">
        <v>644</v>
      </c>
      <c r="F82" s="1"/>
      <c r="G82" s="1" t="s">
        <v>554</v>
      </c>
      <c r="H82" s="1">
        <v>777311499</v>
      </c>
      <c r="I82" s="1"/>
      <c r="J82" s="1"/>
      <c r="K82" s="1" t="s">
        <v>592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637</v>
      </c>
      <c r="D83" s="1" t="s">
        <v>639</v>
      </c>
      <c r="E83" s="1" t="s">
        <v>648</v>
      </c>
      <c r="F83" s="1"/>
      <c r="G83" s="1" t="s">
        <v>554</v>
      </c>
      <c r="H83" s="1">
        <v>767700289</v>
      </c>
      <c r="I83" s="1"/>
      <c r="J83" s="1"/>
      <c r="K83" s="1" t="s">
        <v>592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506</v>
      </c>
      <c r="B84" s="1" t="s">
        <v>507</v>
      </c>
      <c r="C84" s="1" t="s">
        <v>637</v>
      </c>
      <c r="D84" s="1" t="s">
        <v>655</v>
      </c>
      <c r="E84" s="1" t="s">
        <v>658</v>
      </c>
      <c r="F84" s="1"/>
      <c r="G84" s="1" t="s">
        <v>554</v>
      </c>
      <c r="H84" s="1"/>
      <c r="I84" s="1"/>
      <c r="J84" s="1"/>
      <c r="K84" s="1" t="s">
        <v>611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468</v>
      </c>
      <c r="B85" s="1" t="s">
        <v>469</v>
      </c>
      <c r="C85" s="1" t="s">
        <v>637</v>
      </c>
      <c r="D85" s="1" t="s">
        <v>638</v>
      </c>
      <c r="E85" s="1" t="s">
        <v>653</v>
      </c>
      <c r="F85" s="1"/>
      <c r="G85" s="1" t="s">
        <v>552</v>
      </c>
      <c r="H85" s="1"/>
      <c r="I85" s="1"/>
      <c r="J85" s="1"/>
      <c r="K85" s="1" t="s">
        <v>592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545</v>
      </c>
      <c r="B86" s="1" t="s">
        <v>546</v>
      </c>
      <c r="C86" s="1" t="s">
        <v>637</v>
      </c>
      <c r="D86" s="1" t="s">
        <v>638</v>
      </c>
      <c r="E86" s="1" t="s">
        <v>654</v>
      </c>
      <c r="F86" s="1"/>
      <c r="G86" s="1" t="s">
        <v>553</v>
      </c>
      <c r="H86" s="1">
        <v>772654863</v>
      </c>
      <c r="I86" s="1"/>
      <c r="J86" s="1"/>
      <c r="K86" s="1" t="s">
        <v>633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845</v>
      </c>
      <c r="C87" s="1" t="s">
        <v>846</v>
      </c>
      <c r="D87" s="1" t="s">
        <v>638</v>
      </c>
      <c r="E87" s="1" t="s">
        <v>654</v>
      </c>
      <c r="F87" s="1"/>
      <c r="G87" s="1" t="s">
        <v>553</v>
      </c>
      <c r="H87" s="1">
        <v>718131776</v>
      </c>
      <c r="I87" s="1"/>
      <c r="J87" s="1"/>
      <c r="K87" s="1" t="s">
        <v>592</v>
      </c>
      <c r="L87" s="7" t="str">
        <f>CONCATENATE(A87, " - ", Table1[[#This Row],[Farm Name]])</f>
        <v>C00469 - Chamika Farm</v>
      </c>
    </row>
    <row r="88" spans="1:12" x14ac:dyDescent="0.25">
      <c r="A88" s="1" t="s">
        <v>442</v>
      </c>
      <c r="B88" s="1" t="s">
        <v>845</v>
      </c>
      <c r="C88" s="1" t="s">
        <v>919</v>
      </c>
      <c r="D88" s="1" t="s">
        <v>638</v>
      </c>
      <c r="E88" s="1" t="s">
        <v>654</v>
      </c>
      <c r="F88" s="1"/>
      <c r="G88" s="1" t="s">
        <v>553</v>
      </c>
      <c r="H88" s="1">
        <v>718131776</v>
      </c>
      <c r="I88" s="1"/>
      <c r="J88" s="1"/>
      <c r="K88" s="1" t="s">
        <v>592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756</v>
      </c>
      <c r="C89" s="1" t="s">
        <v>757</v>
      </c>
      <c r="D89" s="1" t="s">
        <v>639</v>
      </c>
      <c r="E89" s="1" t="s">
        <v>644</v>
      </c>
      <c r="F89" s="1"/>
      <c r="G89" s="1" t="s">
        <v>554</v>
      </c>
      <c r="H89" s="1">
        <v>777782492</v>
      </c>
      <c r="I89" s="1"/>
      <c r="J89" s="1"/>
      <c r="K89" s="1" t="s">
        <v>592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756</v>
      </c>
      <c r="C90" s="1" t="s">
        <v>801</v>
      </c>
      <c r="D90" s="1" t="s">
        <v>639</v>
      </c>
      <c r="E90" s="1" t="s">
        <v>644</v>
      </c>
      <c r="F90" s="1"/>
      <c r="G90" s="1" t="s">
        <v>554</v>
      </c>
      <c r="H90" s="1">
        <v>777782492</v>
      </c>
      <c r="I90" s="1"/>
      <c r="J90" s="1"/>
      <c r="K90" s="1" t="s">
        <v>592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637</v>
      </c>
      <c r="D91" s="1" t="s">
        <v>655</v>
      </c>
      <c r="E91" t="s">
        <v>964</v>
      </c>
      <c r="F91" s="1"/>
      <c r="G91" s="1" t="s">
        <v>554</v>
      </c>
      <c r="H91" s="1">
        <v>765774565</v>
      </c>
      <c r="I91" s="1">
        <v>652054587</v>
      </c>
      <c r="J91" s="1"/>
      <c r="K91" s="1" t="s">
        <v>592</v>
      </c>
      <c r="L91" s="7" t="str">
        <f>CONCATENATE(A91, " - ", Table1[[#This Row],[Farm Name]])</f>
        <v xml:space="preserve">C00127 - </v>
      </c>
    </row>
    <row r="92" spans="1:12" x14ac:dyDescent="0.25">
      <c r="A92" s="1" t="s">
        <v>971</v>
      </c>
      <c r="B92" s="1" t="s">
        <v>80</v>
      </c>
      <c r="C92" s="1" t="s">
        <v>972</v>
      </c>
      <c r="D92" s="1" t="s">
        <v>655</v>
      </c>
      <c r="E92" t="s">
        <v>658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835</v>
      </c>
      <c r="C93" s="1" t="s">
        <v>836</v>
      </c>
      <c r="D93" s="1" t="s">
        <v>638</v>
      </c>
      <c r="E93" s="1" t="s">
        <v>653</v>
      </c>
      <c r="F93" s="1"/>
      <c r="G93" s="1" t="s">
        <v>553</v>
      </c>
      <c r="H93" s="1">
        <v>773224016</v>
      </c>
      <c r="I93" s="1"/>
      <c r="J93" s="1"/>
      <c r="K93" s="1" t="s">
        <v>592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835</v>
      </c>
      <c r="C94" s="1" t="s">
        <v>837</v>
      </c>
      <c r="D94" s="1" t="s">
        <v>638</v>
      </c>
      <c r="E94" s="1" t="s">
        <v>653</v>
      </c>
      <c r="F94" s="1"/>
      <c r="G94" s="1" t="s">
        <v>553</v>
      </c>
      <c r="H94" s="1">
        <v>773224016</v>
      </c>
      <c r="I94" s="1"/>
      <c r="J94" s="1"/>
      <c r="K94" s="1" t="s">
        <v>592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637</v>
      </c>
      <c r="D95" s="1" t="s">
        <v>638</v>
      </c>
      <c r="E95" s="1" t="str">
        <f>_xlfn.XLOOKUP(A:A,[1]Puttalam!$B:$B,[1]Puttalam!$J:$J,"",0,-1)</f>
        <v>Kalpiti Road</v>
      </c>
      <c r="F95" s="1"/>
      <c r="G95" s="1" t="s">
        <v>553</v>
      </c>
      <c r="H95" s="1">
        <v>722860545</v>
      </c>
      <c r="I95" s="1"/>
      <c r="J95" s="1"/>
      <c r="K95" s="1" t="s">
        <v>592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426</v>
      </c>
      <c r="B96" s="1" t="s">
        <v>427</v>
      </c>
      <c r="C96" s="1" t="s">
        <v>637</v>
      </c>
      <c r="D96" s="1" t="s">
        <v>638</v>
      </c>
      <c r="E96" s="1" t="s">
        <v>654</v>
      </c>
      <c r="F96" s="1"/>
      <c r="G96" s="1" t="s">
        <v>553</v>
      </c>
      <c r="H96" s="1"/>
      <c r="I96" s="1"/>
      <c r="J96" s="1"/>
      <c r="K96" s="1" t="s">
        <v>592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637</v>
      </c>
      <c r="D97" s="1" t="s">
        <v>638</v>
      </c>
      <c r="E97" s="1" t="s">
        <v>653</v>
      </c>
      <c r="F97" s="1"/>
      <c r="G97" s="1" t="s">
        <v>553</v>
      </c>
      <c r="H97" s="1">
        <v>722564430</v>
      </c>
      <c r="I97" s="1"/>
      <c r="J97" s="1"/>
      <c r="K97" s="1" t="s">
        <v>592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682</v>
      </c>
      <c r="C98" s="1" t="s">
        <v>683</v>
      </c>
      <c r="D98" s="1" t="s">
        <v>636</v>
      </c>
      <c r="E98" s="1" t="s">
        <v>640</v>
      </c>
      <c r="F98" s="1"/>
      <c r="G98" s="1" t="s">
        <v>552</v>
      </c>
      <c r="H98" s="1">
        <v>776614637</v>
      </c>
      <c r="I98" s="1"/>
      <c r="J98" s="1"/>
      <c r="K98" s="1" t="s">
        <v>592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682</v>
      </c>
      <c r="C99" s="1" t="s">
        <v>684</v>
      </c>
      <c r="D99" s="1" t="s">
        <v>636</v>
      </c>
      <c r="E99" s="1" t="s">
        <v>643</v>
      </c>
      <c r="F99" s="1"/>
      <c r="G99" s="1" t="s">
        <v>552</v>
      </c>
      <c r="H99" s="1">
        <v>776614637</v>
      </c>
      <c r="I99" s="1"/>
      <c r="J99" s="1"/>
      <c r="K99" s="1" t="s">
        <v>592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682</v>
      </c>
      <c r="C100" s="1" t="s">
        <v>685</v>
      </c>
      <c r="D100" s="1" t="s">
        <v>639</v>
      </c>
      <c r="E100" s="1" t="s">
        <v>644</v>
      </c>
      <c r="F100" s="1"/>
      <c r="G100" s="1" t="s">
        <v>552</v>
      </c>
      <c r="H100" s="1">
        <v>776614637</v>
      </c>
      <c r="I100" s="1"/>
      <c r="J100" s="1"/>
      <c r="K100" s="1" t="s">
        <v>592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682</v>
      </c>
      <c r="C101" s="1" t="s">
        <v>885</v>
      </c>
      <c r="D101" s="1" t="s">
        <v>636</v>
      </c>
      <c r="E101" s="1" t="s">
        <v>641</v>
      </c>
      <c r="F101" s="1"/>
      <c r="G101" s="1" t="s">
        <v>552</v>
      </c>
      <c r="H101" s="1">
        <v>776614637</v>
      </c>
      <c r="I101" s="1"/>
      <c r="J101" s="1"/>
      <c r="K101" s="1" t="s">
        <v>592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441</v>
      </c>
      <c r="B102" s="1" t="s">
        <v>682</v>
      </c>
      <c r="C102" s="1" t="s">
        <v>918</v>
      </c>
      <c r="D102" s="1" t="s">
        <v>638</v>
      </c>
      <c r="E102" s="1" t="s">
        <v>654</v>
      </c>
      <c r="F102" s="1"/>
      <c r="G102" s="1" t="s">
        <v>553</v>
      </c>
      <c r="H102" s="1">
        <v>776614637</v>
      </c>
      <c r="I102" s="1"/>
      <c r="J102" s="1"/>
      <c r="K102" s="1" t="s">
        <v>592</v>
      </c>
      <c r="L102" s="7" t="str">
        <f>CONCATENATE(A102, " - ", Table1[[#This Row],[Farm Name]])</f>
        <v>C00731 -  Wayaba Farm</v>
      </c>
    </row>
    <row r="103" spans="1:12" x14ac:dyDescent="0.25">
      <c r="A103" s="1" t="s">
        <v>449</v>
      </c>
      <c r="B103" s="1" t="s">
        <v>682</v>
      </c>
      <c r="C103" s="1" t="s">
        <v>918</v>
      </c>
      <c r="D103" s="1" t="s">
        <v>638</v>
      </c>
      <c r="E103" s="1" t="s">
        <v>654</v>
      </c>
      <c r="F103" s="1"/>
      <c r="G103" s="1" t="s">
        <v>552</v>
      </c>
      <c r="H103" s="1">
        <v>776614637</v>
      </c>
      <c r="I103" s="1"/>
      <c r="J103" s="1"/>
      <c r="K103" s="1" t="s">
        <v>592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637</v>
      </c>
      <c r="D104" s="1" t="s">
        <v>636</v>
      </c>
      <c r="E104" s="1" t="s">
        <v>640</v>
      </c>
      <c r="F104" s="1"/>
      <c r="G104" s="1" t="s">
        <v>551</v>
      </c>
      <c r="H104" s="1">
        <v>773920773</v>
      </c>
      <c r="I104" s="1"/>
      <c r="J104" s="1"/>
      <c r="K104" s="1" t="s">
        <v>592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637</v>
      </c>
      <c r="D105" s="1" t="s">
        <v>638</v>
      </c>
      <c r="E105" s="1" t="s">
        <v>673</v>
      </c>
      <c r="F105" s="1"/>
      <c r="G105" s="1" t="s">
        <v>553</v>
      </c>
      <c r="H105" s="1">
        <v>779903218</v>
      </c>
      <c r="I105" s="1"/>
      <c r="J105" s="1"/>
      <c r="K105" s="1" t="s">
        <v>592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637</v>
      </c>
      <c r="D106" s="1" t="s">
        <v>639</v>
      </c>
      <c r="E106" s="8" t="s">
        <v>958</v>
      </c>
      <c r="F106" s="1"/>
      <c r="G106" s="1" t="s">
        <v>554</v>
      </c>
      <c r="H106" s="1">
        <v>779206949</v>
      </c>
      <c r="I106" s="1"/>
      <c r="J106" s="1"/>
      <c r="K106" s="1" t="s">
        <v>592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742</v>
      </c>
      <c r="C107" s="1" t="s">
        <v>743</v>
      </c>
      <c r="D107" s="1" t="s">
        <v>639</v>
      </c>
      <c r="E107" s="1" t="s">
        <v>648</v>
      </c>
      <c r="F107" s="1"/>
      <c r="G107" s="1" t="s">
        <v>554</v>
      </c>
      <c r="H107" s="1">
        <v>776039715</v>
      </c>
      <c r="I107" s="1"/>
      <c r="J107" s="1"/>
      <c r="K107" s="1" t="s">
        <v>592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742</v>
      </c>
      <c r="C108" s="1" t="s">
        <v>744</v>
      </c>
      <c r="D108" s="1" t="s">
        <v>639</v>
      </c>
      <c r="E108" s="1" t="s">
        <v>648</v>
      </c>
      <c r="F108" s="1"/>
      <c r="G108" s="1" t="s">
        <v>554</v>
      </c>
      <c r="H108" s="1">
        <v>776039715</v>
      </c>
      <c r="I108" s="1"/>
      <c r="J108" s="1"/>
      <c r="K108" s="1" t="s">
        <v>592</v>
      </c>
      <c r="L108" s="7" t="str">
        <f>CONCATENATE(A108, " - ", Table1[[#This Row],[Farm Name]])</f>
        <v>C00148 -  Block 2</v>
      </c>
    </row>
    <row r="109" spans="1:12" x14ac:dyDescent="0.25">
      <c r="A109" s="1" t="s">
        <v>533</v>
      </c>
      <c r="B109" s="1" t="s">
        <v>938</v>
      </c>
      <c r="C109" s="1" t="s">
        <v>939</v>
      </c>
      <c r="D109" s="1" t="s">
        <v>639</v>
      </c>
      <c r="E109" s="1" t="s">
        <v>661</v>
      </c>
      <c r="F109" s="1"/>
      <c r="G109" s="1" t="s">
        <v>554</v>
      </c>
      <c r="H109" s="1">
        <v>772687687</v>
      </c>
      <c r="I109" s="1"/>
      <c r="J109" s="1"/>
      <c r="K109" s="1" t="s">
        <v>626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637</v>
      </c>
      <c r="D110" s="1" t="s">
        <v>639</v>
      </c>
      <c r="E110" s="1" t="s">
        <v>648</v>
      </c>
      <c r="F110" s="1"/>
      <c r="G110" s="1" t="s">
        <v>554</v>
      </c>
      <c r="H110" s="1">
        <v>779995964</v>
      </c>
      <c r="I110" s="1"/>
      <c r="J110" s="1"/>
      <c r="K110" s="1" t="s">
        <v>592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637</v>
      </c>
      <c r="D111" s="1" t="s">
        <v>636</v>
      </c>
      <c r="E111" s="1" t="s">
        <v>667</v>
      </c>
      <c r="F111" s="1"/>
      <c r="G111" s="1" t="s">
        <v>551</v>
      </c>
      <c r="H111" s="1">
        <v>772810224</v>
      </c>
      <c r="I111" s="1"/>
      <c r="J111" s="1"/>
      <c r="K111" s="1" t="s">
        <v>592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637</v>
      </c>
      <c r="D112" s="1" t="s">
        <v>636</v>
      </c>
      <c r="E112" s="1" t="s">
        <v>640</v>
      </c>
      <c r="F112" s="1"/>
      <c r="G112" s="1" t="s">
        <v>551</v>
      </c>
      <c r="H112" s="1"/>
      <c r="I112" s="1"/>
      <c r="J112" s="1"/>
      <c r="K112" s="1" t="s">
        <v>592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866</v>
      </c>
      <c r="C113" s="1" t="s">
        <v>867</v>
      </c>
      <c r="D113" s="1" t="s">
        <v>638</v>
      </c>
      <c r="E113" s="1" t="s">
        <v>653</v>
      </c>
      <c r="F113" s="1"/>
      <c r="G113" s="1" t="s">
        <v>553</v>
      </c>
      <c r="H113" s="1">
        <v>777562827</v>
      </c>
      <c r="I113" s="1"/>
      <c r="J113" s="1"/>
      <c r="K113" s="1" t="s">
        <v>592</v>
      </c>
      <c r="L113" s="7" t="str">
        <f>CONCATENATE(A113, " - ", Table1[[#This Row],[Farm Name]])</f>
        <v>C00500 -  Royal Farm</v>
      </c>
    </row>
    <row r="114" spans="1:12" x14ac:dyDescent="0.25">
      <c r="A114" s="1" t="s">
        <v>413</v>
      </c>
      <c r="B114" s="1" t="s">
        <v>414</v>
      </c>
      <c r="C114" s="1" t="s">
        <v>637</v>
      </c>
      <c r="D114" s="1" t="s">
        <v>638</v>
      </c>
      <c r="E114" s="1" t="s">
        <v>647</v>
      </c>
      <c r="F114" s="1"/>
      <c r="G114" s="1" t="s">
        <v>553</v>
      </c>
      <c r="H114" s="1">
        <v>776541236</v>
      </c>
      <c r="I114" s="1"/>
      <c r="J114" s="1"/>
      <c r="K114" s="1" t="s">
        <v>592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637</v>
      </c>
      <c r="D115" s="1" t="s">
        <v>638</v>
      </c>
      <c r="E115" s="4" t="s">
        <v>653</v>
      </c>
      <c r="F115" s="1"/>
      <c r="G115" s="1" t="s">
        <v>553</v>
      </c>
      <c r="H115" s="1"/>
      <c r="I115" s="1"/>
      <c r="J115" s="1"/>
      <c r="K115" s="1" t="s">
        <v>592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872</v>
      </c>
      <c r="C116" s="1" t="s">
        <v>775</v>
      </c>
      <c r="D116" s="1" t="s">
        <v>639</v>
      </c>
      <c r="E116" s="1" t="s">
        <v>644</v>
      </c>
      <c r="F116" s="1"/>
      <c r="G116" s="1" t="s">
        <v>554</v>
      </c>
      <c r="H116" s="1">
        <v>761762830</v>
      </c>
      <c r="I116" s="1"/>
      <c r="J116" s="1"/>
      <c r="K116" s="1" t="s">
        <v>592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753</v>
      </c>
      <c r="C117" s="1" t="s">
        <v>754</v>
      </c>
      <c r="D117" s="1" t="s">
        <v>639</v>
      </c>
      <c r="E117" s="1" t="s">
        <v>648</v>
      </c>
      <c r="F117" s="1"/>
      <c r="G117" s="1" t="s">
        <v>554</v>
      </c>
      <c r="H117" s="1">
        <v>773504635</v>
      </c>
      <c r="I117" s="1"/>
      <c r="J117" s="1"/>
      <c r="K117" s="1" t="s">
        <v>592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458</v>
      </c>
      <c r="B118" s="1" t="s">
        <v>926</v>
      </c>
      <c r="C118" s="1" t="s">
        <v>927</v>
      </c>
      <c r="D118" s="1" t="s">
        <v>639</v>
      </c>
      <c r="E118" s="1" t="s">
        <v>648</v>
      </c>
      <c r="F118" s="1"/>
      <c r="G118" s="1" t="s">
        <v>554</v>
      </c>
      <c r="H118" s="1">
        <v>764383118</v>
      </c>
      <c r="I118" s="1"/>
      <c r="J118" s="1"/>
      <c r="K118" s="1" t="s">
        <v>592</v>
      </c>
      <c r="L118" s="7" t="str">
        <f>CONCATENATE(A118, " - ", Table1[[#This Row],[Farm Name]])</f>
        <v>C00773 -  Varada Farm</v>
      </c>
    </row>
    <row r="119" spans="1:12" x14ac:dyDescent="0.25">
      <c r="A119" s="1" t="s">
        <v>459</v>
      </c>
      <c r="B119" s="1" t="s">
        <v>926</v>
      </c>
      <c r="C119" s="1" t="s">
        <v>928</v>
      </c>
      <c r="D119" s="1" t="s">
        <v>639</v>
      </c>
      <c r="E119" s="1" t="s">
        <v>648</v>
      </c>
      <c r="F119" s="1"/>
      <c r="G119" s="1" t="s">
        <v>554</v>
      </c>
      <c r="H119" s="1">
        <v>764383118</v>
      </c>
      <c r="I119" s="1"/>
      <c r="J119" s="1"/>
      <c r="K119" s="1" t="s">
        <v>592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637</v>
      </c>
      <c r="D120" s="1" t="s">
        <v>636</v>
      </c>
      <c r="E120" s="1" t="s">
        <v>665</v>
      </c>
      <c r="F120" s="1"/>
      <c r="G120" s="1" t="s">
        <v>551</v>
      </c>
      <c r="H120" s="1">
        <v>769983757</v>
      </c>
      <c r="I120" s="1"/>
      <c r="J120" s="1"/>
      <c r="K120" s="1" t="s">
        <v>592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549</v>
      </c>
      <c r="B121" s="1" t="s">
        <v>550</v>
      </c>
      <c r="C121" s="1" t="s">
        <v>637</v>
      </c>
      <c r="D121" s="1" t="s">
        <v>636</v>
      </c>
      <c r="E121" s="1" t="s">
        <v>643</v>
      </c>
      <c r="F121" s="1"/>
      <c r="G121" s="1" t="s">
        <v>551</v>
      </c>
      <c r="H121" s="1">
        <v>774338665</v>
      </c>
      <c r="I121" s="1"/>
      <c r="J121" s="1"/>
      <c r="K121" s="1" t="s">
        <v>635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637</v>
      </c>
      <c r="D122" s="1" t="s">
        <v>638</v>
      </c>
      <c r="E122" s="1" t="s">
        <v>675</v>
      </c>
      <c r="F122" s="1"/>
      <c r="G122" s="1" t="s">
        <v>553</v>
      </c>
      <c r="H122" s="1">
        <v>766004046</v>
      </c>
      <c r="I122" s="1"/>
      <c r="J122" s="1"/>
      <c r="K122" s="1" t="s">
        <v>592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637</v>
      </c>
      <c r="D123" s="1" t="s">
        <v>636</v>
      </c>
      <c r="E123" s="1" t="s">
        <v>670</v>
      </c>
      <c r="F123" s="1"/>
      <c r="G123" s="1" t="s">
        <v>551</v>
      </c>
      <c r="H123" s="1">
        <v>766004046</v>
      </c>
      <c r="I123" s="1"/>
      <c r="J123" s="1"/>
      <c r="K123" s="1" t="s">
        <v>592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481</v>
      </c>
      <c r="B124" s="1" t="s">
        <v>482</v>
      </c>
      <c r="C124" s="1" t="s">
        <v>637</v>
      </c>
      <c r="D124" s="1" t="s">
        <v>636</v>
      </c>
      <c r="E124" s="1" t="s">
        <v>663</v>
      </c>
      <c r="F124" s="1"/>
      <c r="G124" s="1" t="s">
        <v>551</v>
      </c>
      <c r="H124" s="1">
        <v>766004046</v>
      </c>
      <c r="I124" s="1"/>
      <c r="J124" s="1"/>
      <c r="K124" s="1" t="s">
        <v>598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637</v>
      </c>
      <c r="D125" s="1" t="s">
        <v>636</v>
      </c>
      <c r="E125" s="1" t="s">
        <v>646</v>
      </c>
      <c r="F125" s="1"/>
      <c r="G125" s="1" t="s">
        <v>551</v>
      </c>
      <c r="H125" s="1">
        <v>716050908</v>
      </c>
      <c r="I125" s="1"/>
      <c r="J125" s="1"/>
      <c r="K125" s="1" t="s">
        <v>592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637</v>
      </c>
      <c r="D126" s="1" t="s">
        <v>636</v>
      </c>
      <c r="E126" s="1" t="s">
        <v>645</v>
      </c>
      <c r="F126" s="1"/>
      <c r="G126" s="1" t="s">
        <v>551</v>
      </c>
      <c r="H126" s="1">
        <v>772674200</v>
      </c>
      <c r="I126" s="1" t="s">
        <v>570</v>
      </c>
      <c r="J126" s="1"/>
      <c r="K126" s="1" t="s">
        <v>592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637</v>
      </c>
      <c r="D127" s="1" t="s">
        <v>639</v>
      </c>
      <c r="E127" s="1" t="s">
        <v>644</v>
      </c>
      <c r="F127" s="1"/>
      <c r="G127" s="1" t="s">
        <v>554</v>
      </c>
      <c r="H127" s="1">
        <v>785144235</v>
      </c>
      <c r="I127" s="1"/>
      <c r="J127" s="1"/>
      <c r="K127" s="1" t="s">
        <v>592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479</v>
      </c>
      <c r="B128" s="1" t="s">
        <v>480</v>
      </c>
      <c r="C128" s="1" t="s">
        <v>637</v>
      </c>
      <c r="D128" s="1" t="s">
        <v>639</v>
      </c>
      <c r="E128" s="1" t="s">
        <v>649</v>
      </c>
      <c r="F128" s="1"/>
      <c r="G128" s="1" t="s">
        <v>554</v>
      </c>
      <c r="H128" s="1">
        <v>777062269</v>
      </c>
      <c r="I128" s="1"/>
      <c r="J128" s="1"/>
      <c r="K128" s="1" t="s">
        <v>597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436</v>
      </c>
      <c r="B129" s="1" t="s">
        <v>437</v>
      </c>
      <c r="C129" s="1" t="s">
        <v>637</v>
      </c>
      <c r="D129" s="1" t="s">
        <v>636</v>
      </c>
      <c r="E129" s="1" t="s">
        <v>664</v>
      </c>
      <c r="F129" s="1"/>
      <c r="G129" s="1" t="s">
        <v>551</v>
      </c>
      <c r="H129" s="1">
        <v>773313804</v>
      </c>
      <c r="I129" s="1"/>
      <c r="J129" s="1"/>
      <c r="K129" s="1" t="s">
        <v>592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429</v>
      </c>
      <c r="B130" s="1" t="s">
        <v>430</v>
      </c>
      <c r="C130" s="1" t="s">
        <v>637</v>
      </c>
      <c r="D130" s="1" t="s">
        <v>636</v>
      </c>
      <c r="E130" s="1" t="s">
        <v>666</v>
      </c>
      <c r="F130" s="1"/>
      <c r="G130" s="1" t="s">
        <v>551</v>
      </c>
      <c r="H130" s="1">
        <v>777922108</v>
      </c>
      <c r="I130" s="1"/>
      <c r="J130" s="1"/>
      <c r="K130" s="1" t="s">
        <v>592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637</v>
      </c>
      <c r="D131" s="1" t="s">
        <v>639</v>
      </c>
      <c r="E131" s="1" t="s">
        <v>649</v>
      </c>
      <c r="F131" s="1"/>
      <c r="G131" s="1" t="s">
        <v>554</v>
      </c>
      <c r="H131" s="1">
        <v>770289410</v>
      </c>
      <c r="I131" s="1"/>
      <c r="J131" s="1"/>
      <c r="K131" s="1" t="s">
        <v>592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487</v>
      </c>
      <c r="B132" s="1" t="s">
        <v>488</v>
      </c>
      <c r="C132" s="1" t="s">
        <v>637</v>
      </c>
      <c r="D132" s="1" t="s">
        <v>636</v>
      </c>
      <c r="E132" s="1" t="s">
        <v>666</v>
      </c>
      <c r="F132" s="1"/>
      <c r="G132" s="1" t="s">
        <v>551</v>
      </c>
      <c r="H132" s="1">
        <v>774367543</v>
      </c>
      <c r="I132" s="1"/>
      <c r="J132" s="1"/>
      <c r="K132" s="1" t="s">
        <v>601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687</v>
      </c>
      <c r="C133" s="1" t="s">
        <v>688</v>
      </c>
      <c r="D133" s="1" t="s">
        <v>636</v>
      </c>
      <c r="E133" s="1" t="s">
        <v>640</v>
      </c>
      <c r="F133" s="1"/>
      <c r="G133" s="1" t="s">
        <v>551</v>
      </c>
      <c r="H133" s="1">
        <v>777676382</v>
      </c>
      <c r="I133" s="1" t="s">
        <v>564</v>
      </c>
      <c r="J133" s="1"/>
      <c r="K133" s="1" t="s">
        <v>592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687</v>
      </c>
      <c r="C134" s="1" t="s">
        <v>689</v>
      </c>
      <c r="D134" s="1" t="s">
        <v>638</v>
      </c>
      <c r="E134" s="1" t="s">
        <v>678</v>
      </c>
      <c r="F134" s="1"/>
      <c r="G134" s="1" t="s">
        <v>553</v>
      </c>
      <c r="H134" s="1">
        <v>777676382</v>
      </c>
      <c r="I134" s="1" t="s">
        <v>564</v>
      </c>
      <c r="J134" s="1"/>
      <c r="K134" s="1" t="s">
        <v>592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364</v>
      </c>
      <c r="B135" s="1" t="s">
        <v>687</v>
      </c>
      <c r="C135" s="1" t="s">
        <v>892</v>
      </c>
      <c r="D135" s="1" t="s">
        <v>636</v>
      </c>
      <c r="E135" s="1" t="s">
        <v>641</v>
      </c>
      <c r="F135" s="1"/>
      <c r="G135" s="1" t="s">
        <v>551</v>
      </c>
      <c r="H135" s="1">
        <v>777676382</v>
      </c>
      <c r="I135" s="1" t="s">
        <v>564</v>
      </c>
      <c r="J135" s="1"/>
      <c r="K135" s="1" t="s">
        <v>592</v>
      </c>
      <c r="L135" s="7" t="str">
        <f>CONCATENATE(A135, " - ", Table1[[#This Row],[Farm Name]])</f>
        <v>C00615 -  AK Farm</v>
      </c>
    </row>
    <row r="136" spans="1:12" x14ac:dyDescent="0.25">
      <c r="A136" s="1" t="s">
        <v>362</v>
      </c>
      <c r="B136" s="1" t="s">
        <v>890</v>
      </c>
      <c r="C136" s="1" t="s">
        <v>746</v>
      </c>
      <c r="D136" s="1" t="s">
        <v>639</v>
      </c>
      <c r="E136" s="1" t="s">
        <v>649</v>
      </c>
      <c r="F136" s="1"/>
      <c r="G136" s="1" t="s">
        <v>554</v>
      </c>
      <c r="H136" s="1">
        <v>766627529</v>
      </c>
      <c r="I136" s="1"/>
      <c r="J136" s="1"/>
      <c r="K136" s="1" t="s">
        <v>592</v>
      </c>
      <c r="L136" s="7" t="str">
        <f>CONCATENATE(A136, " - ", Table1[[#This Row],[Farm Name]])</f>
        <v>C00611 -  Udappu Farm</v>
      </c>
    </row>
    <row r="137" spans="1:12" x14ac:dyDescent="0.25">
      <c r="A137" s="1" t="s">
        <v>367</v>
      </c>
      <c r="B137" s="1" t="s">
        <v>368</v>
      </c>
      <c r="C137" s="1" t="s">
        <v>637</v>
      </c>
      <c r="D137" s="1" t="s">
        <v>639</v>
      </c>
      <c r="E137" s="1" t="s">
        <v>644</v>
      </c>
      <c r="F137" s="1"/>
      <c r="G137" s="1" t="s">
        <v>554</v>
      </c>
      <c r="H137" s="1">
        <v>766627529</v>
      </c>
      <c r="I137" s="1">
        <v>769624111</v>
      </c>
      <c r="J137" s="1"/>
      <c r="K137" s="1" t="s">
        <v>592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637</v>
      </c>
      <c r="D138" s="1" t="s">
        <v>636</v>
      </c>
      <c r="E138" s="1" t="s">
        <v>667</v>
      </c>
      <c r="F138" s="1"/>
      <c r="G138" s="1" t="s">
        <v>551</v>
      </c>
      <c r="H138" s="1">
        <v>776003368</v>
      </c>
      <c r="I138" s="1"/>
      <c r="J138" s="1"/>
      <c r="K138" s="1" t="s">
        <v>592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883</v>
      </c>
      <c r="C139" s="1" t="s">
        <v>884</v>
      </c>
      <c r="D139" s="1" t="s">
        <v>636</v>
      </c>
      <c r="E139" s="1" t="s">
        <v>667</v>
      </c>
      <c r="F139" s="1"/>
      <c r="G139" s="1" t="s">
        <v>551</v>
      </c>
      <c r="H139" s="1">
        <v>769689982</v>
      </c>
      <c r="I139" s="1"/>
      <c r="J139" s="1"/>
      <c r="K139" s="1" t="s">
        <v>592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637</v>
      </c>
      <c r="D140" s="1" t="s">
        <v>638</v>
      </c>
      <c r="E140" s="1" t="s">
        <v>654</v>
      </c>
      <c r="F140" s="1"/>
      <c r="G140" s="1" t="s">
        <v>553</v>
      </c>
      <c r="H140" s="1">
        <v>772769684</v>
      </c>
      <c r="I140" s="1"/>
      <c r="J140" s="1"/>
      <c r="K140" s="1" t="s">
        <v>592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637</v>
      </c>
      <c r="D141" s="1" t="s">
        <v>636</v>
      </c>
      <c r="E141" s="1" t="s">
        <v>664</v>
      </c>
      <c r="F141" s="1"/>
      <c r="G141" s="1" t="s">
        <v>551</v>
      </c>
      <c r="H141" s="1">
        <v>773490000</v>
      </c>
      <c r="I141" s="1"/>
      <c r="J141" s="1"/>
      <c r="K141" s="1" t="s">
        <v>592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783</v>
      </c>
      <c r="C142" s="1" t="s">
        <v>775</v>
      </c>
      <c r="D142" s="1" t="s">
        <v>636</v>
      </c>
      <c r="E142" s="1" t="s">
        <v>641</v>
      </c>
      <c r="F142" s="1"/>
      <c r="G142" s="1" t="s">
        <v>551</v>
      </c>
      <c r="H142" s="1">
        <v>777641183</v>
      </c>
      <c r="I142" s="1"/>
      <c r="J142" s="1"/>
      <c r="K142" s="1" t="s">
        <v>592</v>
      </c>
      <c r="L142" s="7" t="str">
        <f>CONCATENATE(A142, " - ", Table1[[#This Row],[Farm Name]])</f>
        <v>C00326 -  Farm 1</v>
      </c>
    </row>
    <row r="143" spans="1:12" x14ac:dyDescent="0.25">
      <c r="A143" s="1" t="s">
        <v>438</v>
      </c>
      <c r="B143" s="1" t="s">
        <v>783</v>
      </c>
      <c r="C143" s="1" t="s">
        <v>917</v>
      </c>
      <c r="D143" s="1" t="s">
        <v>636</v>
      </c>
      <c r="E143" s="1" t="s">
        <v>643</v>
      </c>
      <c r="F143" s="1"/>
      <c r="G143" s="1" t="s">
        <v>551</v>
      </c>
      <c r="H143" s="1">
        <v>777641183</v>
      </c>
      <c r="I143" s="1"/>
      <c r="J143" s="1"/>
      <c r="K143" s="1" t="s">
        <v>592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393</v>
      </c>
      <c r="B144" s="1" t="s">
        <v>899</v>
      </c>
      <c r="C144" s="1" t="s">
        <v>867</v>
      </c>
      <c r="D144" s="1" t="s">
        <v>638</v>
      </c>
      <c r="E144" s="1" t="s">
        <v>653</v>
      </c>
      <c r="F144" s="1"/>
      <c r="G144" s="1" t="s">
        <v>553</v>
      </c>
      <c r="H144" s="1"/>
      <c r="I144" s="1"/>
      <c r="J144" s="1"/>
      <c r="K144" s="1" t="s">
        <v>592</v>
      </c>
      <c r="L144" s="7" t="str">
        <f>CONCATENATE(A144, " - ", Table1[[#This Row],[Farm Name]])</f>
        <v>C00654 -  Royal Farm</v>
      </c>
    </row>
    <row r="145" spans="1:12" x14ac:dyDescent="0.25">
      <c r="A145" s="1" t="s">
        <v>494</v>
      </c>
      <c r="B145" s="1" t="s">
        <v>495</v>
      </c>
      <c r="C145" s="1" t="s">
        <v>637</v>
      </c>
      <c r="D145" s="1" t="s">
        <v>636</v>
      </c>
      <c r="E145" s="1" t="s">
        <v>663</v>
      </c>
      <c r="F145" s="1"/>
      <c r="G145" s="1" t="s">
        <v>551</v>
      </c>
      <c r="H145" s="1">
        <v>772859806</v>
      </c>
      <c r="I145" s="1"/>
      <c r="J145" s="1"/>
      <c r="K145" s="1" t="s">
        <v>604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637</v>
      </c>
      <c r="D146" s="1" t="s">
        <v>638</v>
      </c>
      <c r="E146" s="1" t="s">
        <v>673</v>
      </c>
      <c r="F146" s="1"/>
      <c r="G146" s="1" t="s">
        <v>553</v>
      </c>
      <c r="H146" s="1">
        <v>777888708</v>
      </c>
      <c r="I146" s="1"/>
      <c r="J146" s="1"/>
      <c r="K146" s="1" t="s">
        <v>592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387</v>
      </c>
      <c r="B147" s="1" t="s">
        <v>388</v>
      </c>
      <c r="C147" s="1" t="s">
        <v>637</v>
      </c>
      <c r="D147" s="1" t="s">
        <v>638</v>
      </c>
      <c r="E147" s="1" t="s">
        <v>673</v>
      </c>
      <c r="F147" s="1"/>
      <c r="G147" s="1" t="s">
        <v>553</v>
      </c>
      <c r="H147" s="1">
        <v>776031300</v>
      </c>
      <c r="I147" s="1"/>
      <c r="J147" s="1"/>
      <c r="K147" s="1" t="s">
        <v>592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446</v>
      </c>
      <c r="B148" s="1" t="s">
        <v>922</v>
      </c>
      <c r="C148" s="1" t="s">
        <v>923</v>
      </c>
      <c r="D148" s="1" t="s">
        <v>638</v>
      </c>
      <c r="E148" s="1" t="s">
        <v>653</v>
      </c>
      <c r="F148" s="1"/>
      <c r="G148" s="1" t="s">
        <v>553</v>
      </c>
      <c r="H148" s="1">
        <v>753917859</v>
      </c>
      <c r="I148" s="1"/>
      <c r="J148" s="1"/>
      <c r="K148" s="1" t="s">
        <v>592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637</v>
      </c>
      <c r="D149" s="1" t="s">
        <v>639</v>
      </c>
      <c r="E149" s="1" t="s">
        <v>644</v>
      </c>
      <c r="F149" s="1"/>
      <c r="G149" s="1" t="s">
        <v>554</v>
      </c>
      <c r="H149" s="1">
        <v>761333977</v>
      </c>
      <c r="I149" s="1"/>
      <c r="J149" s="1"/>
      <c r="K149" s="1" t="s">
        <v>592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637</v>
      </c>
      <c r="D150" s="1" t="s">
        <v>638</v>
      </c>
      <c r="E150" s="1" t="s">
        <v>653</v>
      </c>
      <c r="F150" s="1"/>
      <c r="G150" s="1" t="s">
        <v>553</v>
      </c>
      <c r="H150" s="1">
        <v>776744040</v>
      </c>
      <c r="I150" s="1"/>
      <c r="J150" s="1"/>
      <c r="K150" s="1" t="s">
        <v>592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790</v>
      </c>
      <c r="C151" s="1" t="s">
        <v>791</v>
      </c>
      <c r="D151" s="1" t="s">
        <v>638</v>
      </c>
      <c r="E151" s="1" t="s">
        <v>653</v>
      </c>
      <c r="F151" s="1"/>
      <c r="G151" s="1" t="s">
        <v>553</v>
      </c>
      <c r="H151" s="1">
        <v>776744040</v>
      </c>
      <c r="I151" s="1"/>
      <c r="J151" s="1"/>
      <c r="K151" s="1" t="s">
        <v>592</v>
      </c>
      <c r="L151" s="7" t="str">
        <f>CONCATENATE(A151, " - ", Table1[[#This Row],[Farm Name]])</f>
        <v>C00392 -  Annathurei</v>
      </c>
    </row>
    <row r="152" spans="1:12" x14ac:dyDescent="0.25">
      <c r="A152" s="1" t="s">
        <v>402</v>
      </c>
      <c r="B152" s="1" t="s">
        <v>900</v>
      </c>
      <c r="C152" s="1" t="s">
        <v>901</v>
      </c>
      <c r="D152" s="1" t="s">
        <v>638</v>
      </c>
      <c r="E152" s="1" t="s">
        <v>650</v>
      </c>
      <c r="F152" s="1"/>
      <c r="G152" s="1" t="s">
        <v>553</v>
      </c>
      <c r="H152" s="1">
        <v>777712274</v>
      </c>
      <c r="I152" s="1"/>
      <c r="J152" s="1"/>
      <c r="K152" s="1" t="s">
        <v>592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403</v>
      </c>
      <c r="B153" s="1" t="s">
        <v>900</v>
      </c>
      <c r="C153" s="1" t="s">
        <v>902</v>
      </c>
      <c r="D153" s="1" t="s">
        <v>638</v>
      </c>
      <c r="E153" s="1" t="s">
        <v>653</v>
      </c>
      <c r="F153" s="1"/>
      <c r="G153" s="1" t="s">
        <v>553</v>
      </c>
      <c r="H153" s="1">
        <v>777712274</v>
      </c>
      <c r="I153" s="1"/>
      <c r="J153" s="1"/>
      <c r="K153" s="1" t="s">
        <v>592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450</v>
      </c>
      <c r="B154" s="1" t="s">
        <v>900</v>
      </c>
      <c r="C154" s="1" t="s">
        <v>924</v>
      </c>
      <c r="D154" s="1" t="s">
        <v>638</v>
      </c>
      <c r="E154" s="1" t="s">
        <v>650</v>
      </c>
      <c r="F154" s="1"/>
      <c r="G154" s="1" t="s">
        <v>553</v>
      </c>
      <c r="H154" s="1">
        <v>777712274</v>
      </c>
      <c r="I154" s="1"/>
      <c r="J154" s="1"/>
      <c r="K154" s="1" t="s">
        <v>592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870</v>
      </c>
      <c r="C155" s="1" t="s">
        <v>792</v>
      </c>
      <c r="D155" s="1" t="s">
        <v>638</v>
      </c>
      <c r="E155" s="1" t="s">
        <v>653</v>
      </c>
      <c r="F155" s="1"/>
      <c r="G155" s="1" t="s">
        <v>553</v>
      </c>
      <c r="H155" s="1">
        <v>773261005</v>
      </c>
      <c r="I155" s="1"/>
      <c r="J155" s="1"/>
      <c r="K155" s="1" t="s">
        <v>592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477</v>
      </c>
      <c r="B156" s="1" t="s">
        <v>478</v>
      </c>
      <c r="C156" s="1" t="s">
        <v>637</v>
      </c>
      <c r="D156" s="1" t="s">
        <v>638</v>
      </c>
      <c r="E156" s="1" t="s">
        <v>653</v>
      </c>
      <c r="F156" s="1"/>
      <c r="G156" s="1" t="s">
        <v>553</v>
      </c>
      <c r="H156" s="1"/>
      <c r="I156" s="1"/>
      <c r="J156" s="1"/>
      <c r="K156" s="1" t="s">
        <v>596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447</v>
      </c>
      <c r="B157" s="1" t="s">
        <v>448</v>
      </c>
      <c r="C157" s="1" t="s">
        <v>637</v>
      </c>
      <c r="D157" s="1" t="s">
        <v>638</v>
      </c>
      <c r="E157" s="1" t="s">
        <v>673</v>
      </c>
      <c r="F157" s="1"/>
      <c r="G157" s="1" t="s">
        <v>553</v>
      </c>
      <c r="H157" s="1">
        <v>713225588</v>
      </c>
      <c r="I157" s="1"/>
      <c r="J157" s="1">
        <v>740447999</v>
      </c>
      <c r="K157" s="1" t="s">
        <v>592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637</v>
      </c>
      <c r="D158" s="1" t="s">
        <v>639</v>
      </c>
      <c r="E158" s="1" t="s">
        <v>949</v>
      </c>
      <c r="F158" s="1"/>
      <c r="G158" s="1" t="s">
        <v>553</v>
      </c>
      <c r="H158" s="1">
        <v>777918465</v>
      </c>
      <c r="I158" s="1"/>
      <c r="J158" s="1"/>
      <c r="K158" s="1" t="s">
        <v>592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425</v>
      </c>
      <c r="B159" s="1" t="s">
        <v>910</v>
      </c>
      <c r="C159" s="1" t="s">
        <v>911</v>
      </c>
      <c r="D159" s="1" t="s">
        <v>639</v>
      </c>
      <c r="E159" s="8" t="s">
        <v>961</v>
      </c>
      <c r="F159" s="1"/>
      <c r="G159" s="1" t="s">
        <v>554</v>
      </c>
      <c r="H159" s="1">
        <v>777363654</v>
      </c>
      <c r="I159" s="1"/>
      <c r="J159" s="1"/>
      <c r="K159" s="1" t="s">
        <v>592</v>
      </c>
      <c r="L159" s="7" t="str">
        <f>CONCATENATE(A159, " - ", Table1[[#This Row],[Farm Name]])</f>
        <v>C00701 -  Jothi Farm</v>
      </c>
    </row>
    <row r="160" spans="1:12" x14ac:dyDescent="0.25">
      <c r="A160" s="1" t="s">
        <v>526</v>
      </c>
      <c r="B160" s="1" t="s">
        <v>527</v>
      </c>
      <c r="C160" s="1" t="s">
        <v>637</v>
      </c>
      <c r="D160" s="1" t="s">
        <v>638</v>
      </c>
      <c r="E160" s="1" t="s">
        <v>673</v>
      </c>
      <c r="F160" s="1"/>
      <c r="G160" s="1" t="s">
        <v>553</v>
      </c>
      <c r="H160" s="1"/>
      <c r="I160" s="1"/>
      <c r="J160" s="1"/>
      <c r="K160" s="1" t="s">
        <v>622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515</v>
      </c>
      <c r="B161" s="1" t="s">
        <v>516</v>
      </c>
      <c r="C161" s="1" t="s">
        <v>637</v>
      </c>
      <c r="D161" s="1" t="s">
        <v>655</v>
      </c>
      <c r="E161" s="1" t="s">
        <v>657</v>
      </c>
      <c r="F161" s="1"/>
      <c r="G161" s="1" t="s">
        <v>554</v>
      </c>
      <c r="H161" s="1">
        <v>777768785</v>
      </c>
      <c r="I161" s="1"/>
      <c r="J161" s="1"/>
      <c r="K161" s="1" t="s">
        <v>616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637</v>
      </c>
      <c r="D162" s="1" t="s">
        <v>639</v>
      </c>
      <c r="E162" s="1" t="s">
        <v>644</v>
      </c>
      <c r="F162" s="1"/>
      <c r="G162" s="1" t="s">
        <v>554</v>
      </c>
      <c r="H162" s="1">
        <v>776089254</v>
      </c>
      <c r="I162" s="1"/>
      <c r="J162" s="1"/>
      <c r="K162" s="1" t="s">
        <v>592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637</v>
      </c>
      <c r="D163" s="1" t="s">
        <v>638</v>
      </c>
      <c r="E163" s="1" t="s">
        <v>654</v>
      </c>
      <c r="F163" s="1"/>
      <c r="G163" s="1" t="s">
        <v>553</v>
      </c>
      <c r="H163" s="1">
        <v>779607900</v>
      </c>
      <c r="I163" s="1"/>
      <c r="J163" s="1"/>
      <c r="K163" s="1" t="s">
        <v>592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411</v>
      </c>
      <c r="B164" s="1" t="s">
        <v>412</v>
      </c>
      <c r="C164" s="1" t="s">
        <v>637</v>
      </c>
      <c r="D164" s="1" t="s">
        <v>638</v>
      </c>
      <c r="E164" s="1" t="s">
        <v>674</v>
      </c>
      <c r="F164" s="1"/>
      <c r="G164" s="1" t="s">
        <v>553</v>
      </c>
      <c r="H164" s="1">
        <v>777270995</v>
      </c>
      <c r="I164" s="1"/>
      <c r="J164" s="1"/>
      <c r="K164" s="1" t="s">
        <v>592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415</v>
      </c>
      <c r="B165" s="1" t="s">
        <v>416</v>
      </c>
      <c r="C165" s="1" t="s">
        <v>637</v>
      </c>
      <c r="D165" s="1" t="s">
        <v>638</v>
      </c>
      <c r="E165" s="1" t="s">
        <v>650</v>
      </c>
      <c r="F165" s="1"/>
      <c r="G165" s="1" t="s">
        <v>553</v>
      </c>
      <c r="H165" s="1">
        <v>767112516</v>
      </c>
      <c r="I165" s="1"/>
      <c r="J165" s="1"/>
      <c r="K165" s="1" t="s">
        <v>592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843</v>
      </c>
      <c r="C166" s="1" t="s">
        <v>844</v>
      </c>
      <c r="D166" s="1" t="s">
        <v>638</v>
      </c>
      <c r="E166" s="1" t="s">
        <v>653</v>
      </c>
      <c r="F166" s="1"/>
      <c r="G166" s="1" t="s">
        <v>553</v>
      </c>
      <c r="H166" s="1">
        <v>777326346</v>
      </c>
      <c r="I166" s="1"/>
      <c r="J166" s="1"/>
      <c r="K166" s="1" t="s">
        <v>592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843</v>
      </c>
      <c r="C167" s="1" t="s">
        <v>637</v>
      </c>
      <c r="D167" s="1" t="s">
        <v>638</v>
      </c>
      <c r="E167" s="1" t="s">
        <v>653</v>
      </c>
      <c r="F167" s="1"/>
      <c r="G167" s="1" t="s">
        <v>553</v>
      </c>
      <c r="H167" s="1">
        <v>777326346</v>
      </c>
      <c r="I167" s="1" t="s">
        <v>577</v>
      </c>
      <c r="J167" s="1"/>
      <c r="K167" s="1" t="s">
        <v>592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843</v>
      </c>
      <c r="C168" s="1" t="s">
        <v>686</v>
      </c>
      <c r="D168" s="1" t="s">
        <v>638</v>
      </c>
      <c r="E168" s="1" t="s">
        <v>653</v>
      </c>
      <c r="F168" s="1"/>
      <c r="G168" s="1" t="s">
        <v>553</v>
      </c>
      <c r="H168" s="1">
        <v>777326346</v>
      </c>
      <c r="I168" s="1" t="s">
        <v>577</v>
      </c>
      <c r="J168" s="1"/>
      <c r="K168" s="1" t="s">
        <v>592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843</v>
      </c>
      <c r="C169" s="1" t="s">
        <v>801</v>
      </c>
      <c r="D169" s="1" t="s">
        <v>638</v>
      </c>
      <c r="E169" s="1" t="s">
        <v>653</v>
      </c>
      <c r="F169" s="1"/>
      <c r="G169" s="1" t="s">
        <v>553</v>
      </c>
      <c r="H169" s="1">
        <v>777326346</v>
      </c>
      <c r="I169" s="1" t="s">
        <v>577</v>
      </c>
      <c r="J169" s="1"/>
      <c r="K169" s="1" t="s">
        <v>592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843</v>
      </c>
      <c r="C170" s="1" t="s">
        <v>871</v>
      </c>
      <c r="D170" s="1" t="s">
        <v>638</v>
      </c>
      <c r="E170" s="1" t="s">
        <v>653</v>
      </c>
      <c r="F170" s="1"/>
      <c r="G170" s="1" t="s">
        <v>553</v>
      </c>
      <c r="H170" s="1">
        <v>777326346</v>
      </c>
      <c r="I170" s="1"/>
      <c r="J170" s="1"/>
      <c r="K170" s="1" t="s">
        <v>592</v>
      </c>
      <c r="L170" s="7" t="str">
        <f>CONCATENATE(A170, " - ", Table1[[#This Row],[Farm Name]])</f>
        <v>C00548 -  Nilu Farm</v>
      </c>
    </row>
    <row r="171" spans="1:12" x14ac:dyDescent="0.25">
      <c r="A171" s="1" t="s">
        <v>369</v>
      </c>
      <c r="B171" s="1" t="s">
        <v>843</v>
      </c>
      <c r="C171" s="1" t="s">
        <v>895</v>
      </c>
      <c r="D171" s="1" t="s">
        <v>638</v>
      </c>
      <c r="E171" s="1" t="s">
        <v>653</v>
      </c>
      <c r="F171" s="1"/>
      <c r="G171" s="1" t="s">
        <v>553</v>
      </c>
      <c r="H171" s="1">
        <v>777326346</v>
      </c>
      <c r="I171" s="1"/>
      <c r="J171" s="1"/>
      <c r="K171" s="1" t="s">
        <v>592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637</v>
      </c>
      <c r="D172" s="1" t="s">
        <v>639</v>
      </c>
      <c r="E172" s="1" t="s">
        <v>644</v>
      </c>
      <c r="F172" s="1"/>
      <c r="G172" s="1" t="s">
        <v>554</v>
      </c>
      <c r="H172" s="1">
        <v>712626596</v>
      </c>
      <c r="I172" s="1"/>
      <c r="J172" s="1"/>
      <c r="K172" s="1" t="s">
        <v>592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519</v>
      </c>
      <c r="B173" s="1" t="s">
        <v>112</v>
      </c>
      <c r="C173" s="1" t="s">
        <v>936</v>
      </c>
      <c r="D173" s="1" t="s">
        <v>639</v>
      </c>
      <c r="E173" s="1" t="s">
        <v>644</v>
      </c>
      <c r="F173" s="1"/>
      <c r="G173" s="1" t="s">
        <v>554</v>
      </c>
      <c r="H173" s="1">
        <v>712626596</v>
      </c>
      <c r="I173" s="1"/>
      <c r="J173" s="1"/>
      <c r="K173" s="1" t="s">
        <v>618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802</v>
      </c>
      <c r="C174" s="1" t="s">
        <v>803</v>
      </c>
      <c r="D174" s="1" t="s">
        <v>638</v>
      </c>
      <c r="E174" s="1" t="s">
        <v>653</v>
      </c>
      <c r="F174" s="1"/>
      <c r="G174" s="1" t="s">
        <v>553</v>
      </c>
      <c r="H174" s="1">
        <v>714866907</v>
      </c>
      <c r="I174" s="1"/>
      <c r="J174" s="1"/>
      <c r="K174" s="1" t="s">
        <v>592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802</v>
      </c>
      <c r="C175" s="1" t="s">
        <v>804</v>
      </c>
      <c r="D175" s="1" t="s">
        <v>638</v>
      </c>
      <c r="E175" s="1" t="s">
        <v>653</v>
      </c>
      <c r="F175" s="1"/>
      <c r="G175" s="1" t="s">
        <v>553</v>
      </c>
      <c r="H175" s="1">
        <v>714866907</v>
      </c>
      <c r="I175" s="1"/>
      <c r="J175" s="1"/>
      <c r="K175" s="1" t="s">
        <v>592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802</v>
      </c>
      <c r="C176" s="1" t="s">
        <v>805</v>
      </c>
      <c r="D176" s="1" t="s">
        <v>638</v>
      </c>
      <c r="E176" s="1" t="s">
        <v>653</v>
      </c>
      <c r="F176" s="1"/>
      <c r="G176" s="1" t="s">
        <v>553</v>
      </c>
      <c r="H176" s="1">
        <v>714866907</v>
      </c>
      <c r="I176" s="1"/>
      <c r="J176" s="1"/>
      <c r="K176" s="1" t="s">
        <v>592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802</v>
      </c>
      <c r="C177" s="1" t="s">
        <v>806</v>
      </c>
      <c r="D177" s="1" t="s">
        <v>638</v>
      </c>
      <c r="E177" s="1" t="s">
        <v>653</v>
      </c>
      <c r="F177" s="1"/>
      <c r="G177" s="1" t="s">
        <v>553</v>
      </c>
      <c r="H177" s="1">
        <v>714866907</v>
      </c>
      <c r="I177" s="1"/>
      <c r="J177" s="1"/>
      <c r="K177" s="1" t="s">
        <v>592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465</v>
      </c>
      <c r="B178" s="1" t="s">
        <v>930</v>
      </c>
      <c r="C178" s="1" t="s">
        <v>931</v>
      </c>
      <c r="D178" s="1" t="s">
        <v>638</v>
      </c>
      <c r="E178" s="1" t="s">
        <v>673</v>
      </c>
      <c r="F178" s="1"/>
      <c r="G178" s="1" t="s">
        <v>553</v>
      </c>
      <c r="H178" s="1">
        <v>773513885</v>
      </c>
      <c r="I178" s="1"/>
      <c r="J178" s="1"/>
      <c r="K178" s="1" t="s">
        <v>592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637</v>
      </c>
      <c r="D179" s="1" t="s">
        <v>638</v>
      </c>
      <c r="E179" s="1" t="s">
        <v>653</v>
      </c>
      <c r="F179" s="1"/>
      <c r="G179" s="1" t="s">
        <v>553</v>
      </c>
      <c r="H179" s="1">
        <v>714244424</v>
      </c>
      <c r="I179" s="1"/>
      <c r="J179" s="1"/>
      <c r="K179" s="1" t="s">
        <v>592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804</v>
      </c>
      <c r="D180" s="1" t="s">
        <v>638</v>
      </c>
      <c r="E180" s="1" t="s">
        <v>653</v>
      </c>
      <c r="F180" s="1"/>
      <c r="G180" s="1" t="s">
        <v>553</v>
      </c>
      <c r="H180" s="1">
        <v>714244424</v>
      </c>
      <c r="I180" s="1"/>
      <c r="J180" s="1"/>
      <c r="K180" s="1" t="s">
        <v>592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819</v>
      </c>
      <c r="D181" s="1" t="s">
        <v>638</v>
      </c>
      <c r="E181" s="1" t="s">
        <v>653</v>
      </c>
      <c r="F181" s="1"/>
      <c r="G181" s="1" t="s">
        <v>553</v>
      </c>
      <c r="H181" s="1">
        <v>714244424</v>
      </c>
      <c r="I181" s="1"/>
      <c r="J181" s="1"/>
      <c r="K181" s="1" t="s">
        <v>592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637</v>
      </c>
      <c r="D182" s="1" t="s">
        <v>638</v>
      </c>
      <c r="E182" s="1" t="s">
        <v>653</v>
      </c>
      <c r="F182" s="1"/>
      <c r="G182" s="1" t="s">
        <v>553</v>
      </c>
      <c r="H182" s="1"/>
      <c r="I182" s="1"/>
      <c r="J182" s="1"/>
      <c r="K182" s="1" t="s">
        <v>592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807</v>
      </c>
      <c r="C183" s="1" t="s">
        <v>808</v>
      </c>
      <c r="D183" s="1" t="s">
        <v>638</v>
      </c>
      <c r="E183" s="1" t="s">
        <v>653</v>
      </c>
      <c r="F183" s="1"/>
      <c r="G183" s="1" t="s">
        <v>553</v>
      </c>
      <c r="H183" s="1">
        <v>776904324</v>
      </c>
      <c r="I183" s="1"/>
      <c r="J183" s="1"/>
      <c r="K183" s="1" t="s">
        <v>592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830</v>
      </c>
      <c r="C184" s="1" t="s">
        <v>831</v>
      </c>
      <c r="D184" s="1" t="s">
        <v>638</v>
      </c>
      <c r="E184" s="1" t="s">
        <v>653</v>
      </c>
      <c r="F184" s="1"/>
      <c r="G184" s="1" t="s">
        <v>553</v>
      </c>
      <c r="H184" s="1">
        <v>776969323</v>
      </c>
      <c r="I184" s="1"/>
      <c r="J184" s="1"/>
      <c r="K184" s="1" t="s">
        <v>592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637</v>
      </c>
      <c r="D185" s="1" t="s">
        <v>655</v>
      </c>
      <c r="E185" s="1" t="s">
        <v>656</v>
      </c>
      <c r="F185" s="1"/>
      <c r="G185" s="1" t="s">
        <v>554</v>
      </c>
      <c r="H185" s="1">
        <v>777742294</v>
      </c>
      <c r="I185" s="1"/>
      <c r="J185" s="1"/>
      <c r="K185" s="1" t="s">
        <v>592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1" t="s">
        <v>969</v>
      </c>
      <c r="C186" s="1" t="s">
        <v>637</v>
      </c>
      <c r="D186" s="1" t="s">
        <v>639</v>
      </c>
      <c r="E186" s="1" t="s">
        <v>644</v>
      </c>
      <c r="F186" s="1"/>
      <c r="G186" s="1" t="s">
        <v>554</v>
      </c>
      <c r="H186" s="1">
        <v>786668510</v>
      </c>
      <c r="I186" s="1">
        <v>785144235</v>
      </c>
      <c r="J186" s="1"/>
      <c r="K186" s="1" t="s">
        <v>592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637</v>
      </c>
      <c r="D187" s="1" t="s">
        <v>638</v>
      </c>
      <c r="E187" s="1" t="s">
        <v>653</v>
      </c>
      <c r="F187" s="1"/>
      <c r="G187" s="1" t="s">
        <v>553</v>
      </c>
      <c r="H187" s="1"/>
      <c r="I187" s="1"/>
      <c r="J187" s="1"/>
      <c r="K187" s="1" t="s">
        <v>592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538</v>
      </c>
      <c r="B188" s="1" t="s">
        <v>539</v>
      </c>
      <c r="C188" s="1" t="s">
        <v>637</v>
      </c>
      <c r="D188" s="1" t="s">
        <v>638</v>
      </c>
      <c r="E188" s="1" t="s">
        <v>673</v>
      </c>
      <c r="F188" s="1"/>
      <c r="G188" s="1" t="s">
        <v>553</v>
      </c>
      <c r="H188" s="1">
        <v>717730378</v>
      </c>
      <c r="I188" s="1">
        <v>779094663</v>
      </c>
      <c r="J188" s="1" t="s">
        <v>590</v>
      </c>
      <c r="K188" s="1" t="s">
        <v>629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637</v>
      </c>
      <c r="D189" s="1" t="s">
        <v>639</v>
      </c>
      <c r="E189" s="1" t="s">
        <v>644</v>
      </c>
      <c r="F189" s="1"/>
      <c r="G189" s="1" t="s">
        <v>554</v>
      </c>
      <c r="H189" s="1">
        <v>719766462</v>
      </c>
      <c r="I189" s="1"/>
      <c r="J189" s="1"/>
      <c r="K189" s="1" t="s">
        <v>592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982</v>
      </c>
      <c r="C190" s="1" t="s">
        <v>981</v>
      </c>
      <c r="D190" s="1" t="s">
        <v>639</v>
      </c>
      <c r="E190" s="1" t="s">
        <v>644</v>
      </c>
      <c r="F190" s="1"/>
      <c r="G190" s="1" t="s">
        <v>554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722</v>
      </c>
      <c r="C191" s="1" t="s">
        <v>723</v>
      </c>
      <c r="D191" s="1" t="s">
        <v>655</v>
      </c>
      <c r="E191" s="1" t="s">
        <v>658</v>
      </c>
      <c r="F191" s="1"/>
      <c r="G191" s="1" t="s">
        <v>554</v>
      </c>
      <c r="H191" s="1">
        <v>777112629</v>
      </c>
      <c r="I191" s="1"/>
      <c r="J191" s="1"/>
      <c r="K191" s="1" t="s">
        <v>592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722</v>
      </c>
      <c r="C192" s="1" t="s">
        <v>724</v>
      </c>
      <c r="D192" s="1" t="s">
        <v>655</v>
      </c>
      <c r="E192" s="1" t="s">
        <v>658</v>
      </c>
      <c r="F192" s="1"/>
      <c r="G192" s="1" t="s">
        <v>554</v>
      </c>
      <c r="H192" s="1">
        <v>779059130</v>
      </c>
      <c r="I192" s="1"/>
      <c r="J192" s="1"/>
      <c r="K192" s="1" t="s">
        <v>592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722</v>
      </c>
      <c r="C193" s="1" t="s">
        <v>725</v>
      </c>
      <c r="D193" s="1" t="s">
        <v>655</v>
      </c>
      <c r="E193" s="1" t="s">
        <v>658</v>
      </c>
      <c r="F193" s="1"/>
      <c r="G193" s="1" t="s">
        <v>554</v>
      </c>
      <c r="H193" s="1">
        <v>771236766</v>
      </c>
      <c r="I193" s="1">
        <v>777892979</v>
      </c>
      <c r="J193" s="1"/>
      <c r="K193" s="1" t="s">
        <v>592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363</v>
      </c>
      <c r="B194" s="1" t="s">
        <v>722</v>
      </c>
      <c r="C194" s="1" t="s">
        <v>891</v>
      </c>
      <c r="D194" s="1" t="s">
        <v>655</v>
      </c>
      <c r="E194" s="1" t="s">
        <v>658</v>
      </c>
      <c r="F194" s="1"/>
      <c r="G194" s="1" t="s">
        <v>554</v>
      </c>
      <c r="H194" s="1">
        <v>760494967</v>
      </c>
      <c r="I194" s="1"/>
      <c r="J194" s="1"/>
      <c r="K194" s="1" t="s">
        <v>592</v>
      </c>
      <c r="L194" s="7" t="str">
        <f>CONCATENATE(A194, " - ", Table1[[#This Row],[Farm Name]])</f>
        <v>C00613 -  P.Lavan</v>
      </c>
    </row>
    <row r="195" spans="1:12" x14ac:dyDescent="0.25">
      <c r="A195" s="1" t="s">
        <v>365</v>
      </c>
      <c r="B195" s="1" t="s">
        <v>722</v>
      </c>
      <c r="C195" s="1" t="s">
        <v>893</v>
      </c>
      <c r="D195" s="1" t="s">
        <v>655</v>
      </c>
      <c r="E195" s="1" t="s">
        <v>658</v>
      </c>
      <c r="F195" s="1"/>
      <c r="G195" s="1" t="s">
        <v>554</v>
      </c>
      <c r="H195" s="1">
        <v>779059130</v>
      </c>
      <c r="I195" s="1"/>
      <c r="J195" s="1"/>
      <c r="K195" s="1" t="s">
        <v>592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366</v>
      </c>
      <c r="B196" s="1" t="s">
        <v>722</v>
      </c>
      <c r="C196" s="1" t="s">
        <v>894</v>
      </c>
      <c r="D196" s="1" t="s">
        <v>655</v>
      </c>
      <c r="E196" s="1" t="s">
        <v>658</v>
      </c>
      <c r="F196" s="1"/>
      <c r="G196" s="1" t="s">
        <v>554</v>
      </c>
      <c r="H196" s="1" t="s">
        <v>558</v>
      </c>
      <c r="I196" s="1" t="s">
        <v>587</v>
      </c>
      <c r="J196" s="1"/>
      <c r="K196" s="1" t="s">
        <v>592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431</v>
      </c>
      <c r="B197" s="1" t="s">
        <v>913</v>
      </c>
      <c r="C197" s="1" t="s">
        <v>914</v>
      </c>
      <c r="D197" s="1" t="s">
        <v>638</v>
      </c>
      <c r="E197" s="1" t="s">
        <v>677</v>
      </c>
      <c r="F197" s="1"/>
      <c r="G197" s="1" t="s">
        <v>552</v>
      </c>
      <c r="H197" s="1">
        <v>777924039</v>
      </c>
      <c r="I197" s="1"/>
      <c r="J197" s="1"/>
      <c r="K197" s="1" t="s">
        <v>592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496</v>
      </c>
      <c r="B198" s="1" t="s">
        <v>913</v>
      </c>
      <c r="C198" s="1" t="s">
        <v>932</v>
      </c>
      <c r="D198" s="1" t="s">
        <v>638</v>
      </c>
      <c r="E198" s="1" t="s">
        <v>673</v>
      </c>
      <c r="F198" s="1"/>
      <c r="G198" s="1" t="s">
        <v>553</v>
      </c>
      <c r="H198" s="1">
        <v>777924039</v>
      </c>
      <c r="I198" s="1"/>
      <c r="J198" s="1"/>
      <c r="K198" s="1" t="s">
        <v>605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497</v>
      </c>
      <c r="B199" s="1" t="s">
        <v>913</v>
      </c>
      <c r="C199" s="1" t="s">
        <v>933</v>
      </c>
      <c r="D199" s="1" t="s">
        <v>638</v>
      </c>
      <c r="E199" s="1" t="s">
        <v>677</v>
      </c>
      <c r="F199" s="1"/>
      <c r="G199" s="1" t="s">
        <v>552</v>
      </c>
      <c r="H199" s="1">
        <v>777924039</v>
      </c>
      <c r="I199" s="1"/>
      <c r="J199" s="1"/>
      <c r="K199" s="1" t="s">
        <v>606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735</v>
      </c>
      <c r="C200" s="1" t="s">
        <v>736</v>
      </c>
      <c r="D200" s="1" t="s">
        <v>639</v>
      </c>
      <c r="E200" s="1" t="s">
        <v>644</v>
      </c>
      <c r="F200" s="1"/>
      <c r="G200" s="1" t="s">
        <v>554</v>
      </c>
      <c r="H200" s="1">
        <v>777431590</v>
      </c>
      <c r="I200" s="1"/>
      <c r="J200" s="1"/>
      <c r="K200" s="1" t="s">
        <v>592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979</v>
      </c>
      <c r="B201" s="1" t="s">
        <v>980</v>
      </c>
      <c r="C201" s="1"/>
      <c r="D201" s="1" t="s">
        <v>638</v>
      </c>
      <c r="E201" t="s">
        <v>962</v>
      </c>
      <c r="F201" s="1"/>
      <c r="G201" s="1" t="s">
        <v>553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765</v>
      </c>
      <c r="C202" s="1" t="s">
        <v>766</v>
      </c>
      <c r="D202" s="1" t="s">
        <v>636</v>
      </c>
      <c r="E202" s="1" t="s">
        <v>669</v>
      </c>
      <c r="F202" s="1"/>
      <c r="G202" s="1" t="s">
        <v>551</v>
      </c>
      <c r="H202" s="1">
        <v>714334546</v>
      </c>
      <c r="I202" s="1"/>
      <c r="J202" s="1"/>
      <c r="K202" s="1" t="s">
        <v>592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765</v>
      </c>
      <c r="C203" s="1" t="s">
        <v>873</v>
      </c>
      <c r="D203" s="1" t="s">
        <v>636</v>
      </c>
      <c r="E203" s="1" t="s">
        <v>669</v>
      </c>
      <c r="F203" s="1"/>
      <c r="G203" s="1" t="s">
        <v>551</v>
      </c>
      <c r="H203" s="1">
        <v>714334546</v>
      </c>
      <c r="I203" s="1"/>
      <c r="J203" s="1">
        <v>718695838</v>
      </c>
      <c r="K203" s="1" t="s">
        <v>592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381</v>
      </c>
      <c r="B204" t="s">
        <v>966</v>
      </c>
      <c r="C204" s="1" t="s">
        <v>637</v>
      </c>
      <c r="D204" s="1" t="s">
        <v>639</v>
      </c>
      <c r="E204" s="8" t="s">
        <v>950</v>
      </c>
      <c r="F204" s="1"/>
      <c r="G204" s="1" t="s">
        <v>554</v>
      </c>
      <c r="H204" s="1"/>
      <c r="I204" s="1"/>
      <c r="J204" s="1"/>
      <c r="K204" s="1" t="s">
        <v>592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424</v>
      </c>
      <c r="B205" s="1" t="s">
        <v>909</v>
      </c>
      <c r="C205" s="1" t="s">
        <v>881</v>
      </c>
      <c r="D205" s="1" t="s">
        <v>638</v>
      </c>
      <c r="E205" s="1">
        <v>0</v>
      </c>
      <c r="F205" s="1"/>
      <c r="G205" s="1" t="s">
        <v>553</v>
      </c>
      <c r="H205" s="1">
        <v>777580371</v>
      </c>
      <c r="I205" s="1">
        <v>312261533</v>
      </c>
      <c r="J205" s="1"/>
      <c r="K205" s="1" t="s">
        <v>592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530</v>
      </c>
      <c r="B206" s="1" t="s">
        <v>937</v>
      </c>
      <c r="C206" s="1" t="s">
        <v>892</v>
      </c>
      <c r="D206" s="1" t="s">
        <v>636</v>
      </c>
      <c r="E206" s="1" t="s">
        <v>640</v>
      </c>
      <c r="F206" s="1"/>
      <c r="G206" s="1" t="s">
        <v>551</v>
      </c>
      <c r="H206" s="1">
        <v>779045607</v>
      </c>
      <c r="I206" s="1"/>
      <c r="J206" s="1"/>
      <c r="K206" s="1" t="s">
        <v>624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637</v>
      </c>
      <c r="D207" s="1" t="s">
        <v>655</v>
      </c>
      <c r="E207" s="1" t="s">
        <v>655</v>
      </c>
      <c r="F207" s="1"/>
      <c r="G207" s="1" t="s">
        <v>554</v>
      </c>
      <c r="H207" s="1">
        <v>779045607</v>
      </c>
      <c r="I207" s="1"/>
      <c r="J207" s="1"/>
      <c r="K207" s="1" t="s">
        <v>592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456</v>
      </c>
      <c r="B208" s="4" t="s">
        <v>457</v>
      </c>
      <c r="C208" s="1" t="s">
        <v>637</v>
      </c>
      <c r="D208" s="1" t="s">
        <v>655</v>
      </c>
      <c r="E208" s="1" t="s">
        <v>655</v>
      </c>
      <c r="F208" s="1"/>
      <c r="G208" s="1" t="s">
        <v>554</v>
      </c>
      <c r="H208" s="1">
        <v>773563091</v>
      </c>
      <c r="I208" s="1"/>
      <c r="J208" s="1"/>
      <c r="K208" s="1" t="s">
        <v>592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637</v>
      </c>
      <c r="D209" s="1" t="s">
        <v>638</v>
      </c>
      <c r="E209" s="1" t="str">
        <f>_xlfn.XLOOKUP(A:A,[1]Puttalam!$B:$B,[1]Puttalam!$J:$J,"",0,-1)</f>
        <v>Wilthodai(Karaba)</v>
      </c>
      <c r="F209" s="1"/>
      <c r="G209" s="1" t="s">
        <v>553</v>
      </c>
      <c r="H209" s="1">
        <v>772964837</v>
      </c>
      <c r="I209" s="1"/>
      <c r="J209" s="1"/>
      <c r="K209" s="1" t="s">
        <v>592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504</v>
      </c>
      <c r="B210" s="1" t="s">
        <v>505</v>
      </c>
      <c r="C210" s="1" t="s">
        <v>637</v>
      </c>
      <c r="D210" s="1" t="s">
        <v>655</v>
      </c>
      <c r="E210" s="1" t="s">
        <v>657</v>
      </c>
      <c r="F210" s="1"/>
      <c r="G210" s="1" t="s">
        <v>554</v>
      </c>
      <c r="H210" s="1">
        <v>774197631</v>
      </c>
      <c r="I210" s="1"/>
      <c r="J210" s="1"/>
      <c r="K210" s="1" t="s">
        <v>610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976</v>
      </c>
      <c r="B211" s="1" t="s">
        <v>977</v>
      </c>
      <c r="C211" s="1" t="s">
        <v>953</v>
      </c>
      <c r="D211" s="1" t="s">
        <v>638</v>
      </c>
      <c r="E211" s="4" t="s">
        <v>978</v>
      </c>
      <c r="F211" s="1"/>
      <c r="G211" s="1" t="s">
        <v>553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514</v>
      </c>
      <c r="B212" s="1" t="s">
        <v>934</v>
      </c>
      <c r="C212" s="1" t="s">
        <v>935</v>
      </c>
      <c r="D212" s="1" t="s">
        <v>638</v>
      </c>
      <c r="E212" s="1" t="s">
        <v>653</v>
      </c>
      <c r="F212" s="1"/>
      <c r="G212" s="1" t="s">
        <v>553</v>
      </c>
      <c r="H212" s="1">
        <v>770452664</v>
      </c>
      <c r="I212" s="1"/>
      <c r="J212" s="1"/>
      <c r="K212" s="1" t="s">
        <v>615</v>
      </c>
      <c r="L212" s="7" t="str">
        <f>CONCATENATE(A212, " - ", Table1[[#This Row],[Farm Name]])</f>
        <v>C00835 - Lumala Farm</v>
      </c>
    </row>
    <row r="213" spans="1:12" x14ac:dyDescent="0.25">
      <c r="A213" s="1" t="s">
        <v>483</v>
      </c>
      <c r="B213" s="1" t="s">
        <v>484</v>
      </c>
      <c r="C213" s="1" t="s">
        <v>637</v>
      </c>
      <c r="D213" s="1" t="s">
        <v>636</v>
      </c>
      <c r="E213" s="1" t="s">
        <v>640</v>
      </c>
      <c r="F213" s="1"/>
      <c r="G213" s="1" t="s">
        <v>551</v>
      </c>
      <c r="H213" s="1">
        <v>773046789</v>
      </c>
      <c r="I213" s="1"/>
      <c r="J213" s="1"/>
      <c r="K213" s="1" t="s">
        <v>599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745</v>
      </c>
      <c r="C214" s="1" t="s">
        <v>746</v>
      </c>
      <c r="D214" s="1" t="s">
        <v>639</v>
      </c>
      <c r="E214" s="1">
        <v>0</v>
      </c>
      <c r="F214" s="1"/>
      <c r="G214" s="1" t="s">
        <v>554</v>
      </c>
      <c r="H214" s="1">
        <v>770190073</v>
      </c>
      <c r="I214" s="1"/>
      <c r="J214" s="1"/>
      <c r="K214" s="1" t="s">
        <v>592</v>
      </c>
      <c r="L214" s="7" t="str">
        <f>CONCATENATE(A214, " - ", Table1[[#This Row],[Farm Name]])</f>
        <v>C00156 -  Udappu Farm</v>
      </c>
    </row>
    <row r="215" spans="1:12" x14ac:dyDescent="0.25">
      <c r="A215" s="1" t="s">
        <v>460</v>
      </c>
      <c r="B215" s="1" t="s">
        <v>461</v>
      </c>
      <c r="C215" s="1" t="s">
        <v>637</v>
      </c>
      <c r="D215" s="1" t="s">
        <v>638</v>
      </c>
      <c r="E215" s="1" t="s">
        <v>653</v>
      </c>
      <c r="F215" s="1"/>
      <c r="G215" s="1" t="s">
        <v>553</v>
      </c>
      <c r="H215" s="1">
        <v>724867927</v>
      </c>
      <c r="I215" s="1"/>
      <c r="J215" s="1"/>
      <c r="K215" s="1" t="s">
        <v>592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492</v>
      </c>
      <c r="B216" s="1" t="s">
        <v>493</v>
      </c>
      <c r="C216" s="1" t="s">
        <v>637</v>
      </c>
      <c r="D216" s="1" t="s">
        <v>636</v>
      </c>
      <c r="E216" s="1" t="s">
        <v>667</v>
      </c>
      <c r="F216" s="1"/>
      <c r="G216" s="1" t="s">
        <v>551</v>
      </c>
      <c r="H216" s="1">
        <v>762017626</v>
      </c>
      <c r="I216" s="1"/>
      <c r="J216" s="1"/>
      <c r="K216" s="1" t="s">
        <v>603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375</v>
      </c>
      <c r="B217" s="1" t="s">
        <v>376</v>
      </c>
      <c r="C217" s="1" t="s">
        <v>637</v>
      </c>
      <c r="D217" s="1" t="s">
        <v>639</v>
      </c>
      <c r="E217" s="1" t="s">
        <v>649</v>
      </c>
      <c r="F217" s="1"/>
      <c r="G217" s="1" t="s">
        <v>554</v>
      </c>
      <c r="H217" s="1">
        <v>768556292</v>
      </c>
      <c r="I217" s="1"/>
      <c r="J217" s="1"/>
      <c r="K217" s="1" t="s">
        <v>592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439</v>
      </c>
      <c r="B218" s="1" t="s">
        <v>440</v>
      </c>
      <c r="C218" s="1" t="s">
        <v>637</v>
      </c>
      <c r="D218" s="1" t="s">
        <v>638</v>
      </c>
      <c r="E218" s="1" t="s">
        <v>673</v>
      </c>
      <c r="F218" s="1"/>
      <c r="G218" s="1" t="s">
        <v>553</v>
      </c>
      <c r="H218" s="1">
        <v>778781126</v>
      </c>
      <c r="I218" s="1"/>
      <c r="J218" s="1"/>
      <c r="K218" s="1" t="s">
        <v>593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868</v>
      </c>
      <c r="C219" s="1" t="s">
        <v>796</v>
      </c>
      <c r="D219" s="1" t="s">
        <v>638</v>
      </c>
      <c r="E219" t="s">
        <v>963</v>
      </c>
      <c r="F219" s="1"/>
      <c r="G219" s="1" t="s">
        <v>553</v>
      </c>
      <c r="H219" s="1">
        <v>772368322</v>
      </c>
      <c r="I219" s="1"/>
      <c r="J219" s="1"/>
      <c r="K219" s="1" t="s">
        <v>592</v>
      </c>
      <c r="L219" s="7" t="str">
        <f>CONCATENATE(A219, " - ", Table1[[#This Row],[Farm Name]])</f>
        <v>C00503 - Farm 1</v>
      </c>
    </row>
    <row r="220" spans="1:12" x14ac:dyDescent="0.25">
      <c r="A220" s="1" t="s">
        <v>542</v>
      </c>
      <c r="B220" s="1" t="s">
        <v>868</v>
      </c>
      <c r="C220" s="1" t="s">
        <v>880</v>
      </c>
      <c r="D220" s="1" t="s">
        <v>638</v>
      </c>
      <c r="E220" s="1" t="s">
        <v>654</v>
      </c>
      <c r="F220" s="1"/>
      <c r="G220" s="1" t="s">
        <v>553</v>
      </c>
      <c r="H220" s="1">
        <v>772368322</v>
      </c>
      <c r="I220" s="1"/>
      <c r="J220" s="1"/>
      <c r="K220" s="1" t="s">
        <v>632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637</v>
      </c>
      <c r="D221" s="1" t="s">
        <v>638</v>
      </c>
      <c r="E221" s="1" t="s">
        <v>654</v>
      </c>
      <c r="F221" s="1"/>
      <c r="G221" s="1" t="s">
        <v>553</v>
      </c>
      <c r="H221" s="1">
        <v>771771888</v>
      </c>
      <c r="I221" s="1" t="s">
        <v>578</v>
      </c>
      <c r="J221" s="1"/>
      <c r="K221" s="1" t="s">
        <v>592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389</v>
      </c>
      <c r="B222" s="1" t="s">
        <v>390</v>
      </c>
      <c r="C222" s="1" t="s">
        <v>637</v>
      </c>
      <c r="D222" s="1" t="s">
        <v>638</v>
      </c>
      <c r="E222" s="1" t="s">
        <v>650</v>
      </c>
      <c r="F222" s="1"/>
      <c r="G222" s="1" t="s">
        <v>553</v>
      </c>
      <c r="H222" s="1">
        <v>777778701</v>
      </c>
      <c r="I222" s="1"/>
      <c r="J222" s="1"/>
      <c r="K222" s="1" t="s">
        <v>592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877</v>
      </c>
      <c r="C223" s="1" t="s">
        <v>776</v>
      </c>
      <c r="D223" s="1" t="s">
        <v>638</v>
      </c>
      <c r="E223" s="1" t="s">
        <v>654</v>
      </c>
      <c r="F223" s="1"/>
      <c r="G223" s="1" t="s">
        <v>553</v>
      </c>
      <c r="H223" s="1">
        <v>716848715</v>
      </c>
      <c r="I223" s="1"/>
      <c r="J223" s="1"/>
      <c r="K223" s="1" t="s">
        <v>592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637</v>
      </c>
      <c r="D224" s="1" t="s">
        <v>638</v>
      </c>
      <c r="E224" s="1" t="s">
        <v>654</v>
      </c>
      <c r="F224" s="1"/>
      <c r="G224" s="1" t="s">
        <v>553</v>
      </c>
      <c r="H224" s="1">
        <v>714866752</v>
      </c>
      <c r="I224" s="1" t="s">
        <v>579</v>
      </c>
      <c r="J224" s="1"/>
      <c r="K224" s="1" t="s">
        <v>592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637</v>
      </c>
      <c r="D225" s="1" t="s">
        <v>655</v>
      </c>
      <c r="E225" s="1" t="s">
        <v>658</v>
      </c>
      <c r="F225" s="1"/>
      <c r="G225" s="1" t="s">
        <v>554</v>
      </c>
      <c r="H225" s="1">
        <v>779059130</v>
      </c>
      <c r="I225" s="1"/>
      <c r="J225" s="1"/>
      <c r="K225" s="1" t="s">
        <v>592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809</v>
      </c>
      <c r="C226" s="1" t="s">
        <v>810</v>
      </c>
      <c r="D226" s="1" t="s">
        <v>638</v>
      </c>
      <c r="E226" s="1" t="s">
        <v>654</v>
      </c>
      <c r="F226" s="1"/>
      <c r="G226" s="1" t="s">
        <v>553</v>
      </c>
      <c r="H226" s="1">
        <v>776567669</v>
      </c>
      <c r="I226" s="1"/>
      <c r="J226" s="1"/>
      <c r="K226" s="1" t="s">
        <v>592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721</v>
      </c>
      <c r="D227" s="1" t="s">
        <v>655</v>
      </c>
      <c r="E227" s="1" t="s">
        <v>659</v>
      </c>
      <c r="F227" s="1"/>
      <c r="G227" s="1" t="s">
        <v>554</v>
      </c>
      <c r="H227" s="1">
        <v>774714525</v>
      </c>
      <c r="I227" s="1" t="s">
        <v>565</v>
      </c>
      <c r="J227" s="1"/>
      <c r="K227" s="1" t="s">
        <v>592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637</v>
      </c>
      <c r="D228" s="1" t="s">
        <v>655</v>
      </c>
      <c r="E228" s="1" t="s">
        <v>658</v>
      </c>
      <c r="F228" s="1"/>
      <c r="G228" s="1" t="s">
        <v>554</v>
      </c>
      <c r="H228" s="1">
        <v>774714525</v>
      </c>
      <c r="I228" s="1"/>
      <c r="J228" s="1"/>
      <c r="K228" s="1" t="s">
        <v>592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733</v>
      </c>
      <c r="C229" s="1" t="s">
        <v>734</v>
      </c>
      <c r="D229" s="1" t="s">
        <v>655</v>
      </c>
      <c r="E229" s="1" t="s">
        <v>658</v>
      </c>
      <c r="F229" s="1"/>
      <c r="G229" s="1" t="s">
        <v>554</v>
      </c>
      <c r="H229" s="1">
        <v>778070982</v>
      </c>
      <c r="I229" s="1"/>
      <c r="J229" s="1"/>
      <c r="K229" s="1" t="s">
        <v>592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728</v>
      </c>
      <c r="C230" s="1" t="s">
        <v>729</v>
      </c>
      <c r="D230" s="1" t="s">
        <v>655</v>
      </c>
      <c r="E230" s="1" t="s">
        <v>659</v>
      </c>
      <c r="F230" s="1"/>
      <c r="G230" s="1" t="s">
        <v>554</v>
      </c>
      <c r="H230" s="1">
        <v>779602159</v>
      </c>
      <c r="I230" s="1"/>
      <c r="J230" s="1"/>
      <c r="K230" s="1" t="s">
        <v>592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728</v>
      </c>
      <c r="C231" s="1" t="s">
        <v>730</v>
      </c>
      <c r="D231" s="1" t="s">
        <v>655</v>
      </c>
      <c r="E231" s="1" t="s">
        <v>658</v>
      </c>
      <c r="F231" s="1"/>
      <c r="G231" s="1" t="s">
        <v>554</v>
      </c>
      <c r="H231" s="1">
        <v>779602159</v>
      </c>
      <c r="I231" s="1"/>
      <c r="J231" s="1"/>
      <c r="K231" s="1" t="s">
        <v>592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728</v>
      </c>
      <c r="C232" s="1" t="s">
        <v>731</v>
      </c>
      <c r="D232" s="1" t="s">
        <v>655</v>
      </c>
      <c r="E232" s="1" t="s">
        <v>659</v>
      </c>
      <c r="F232" s="1"/>
      <c r="G232" s="1" t="s">
        <v>554</v>
      </c>
      <c r="H232" s="1">
        <v>756860209</v>
      </c>
      <c r="I232" s="1" t="s">
        <v>566</v>
      </c>
      <c r="J232" s="1"/>
      <c r="K232" s="1" t="s">
        <v>592</v>
      </c>
      <c r="L232" s="7" t="str">
        <f>CONCATENATE(A232, " - ", Table1[[#This Row],[Farm Name]])</f>
        <v>C00104 -  Michael</v>
      </c>
    </row>
    <row r="233" spans="1:12" x14ac:dyDescent="0.25">
      <c r="A233" s="1" t="s">
        <v>400</v>
      </c>
      <c r="B233" s="1" t="s">
        <v>728</v>
      </c>
      <c r="C233" s="1" t="s">
        <v>741</v>
      </c>
      <c r="D233" s="1" t="s">
        <v>655</v>
      </c>
      <c r="E233" s="1" t="s">
        <v>658</v>
      </c>
      <c r="F233" s="1"/>
      <c r="G233" s="1" t="s">
        <v>554</v>
      </c>
      <c r="H233" s="1">
        <v>779602159</v>
      </c>
      <c r="I233" s="1"/>
      <c r="J233" s="1"/>
      <c r="K233" s="1" t="s">
        <v>592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637</v>
      </c>
      <c r="D234" s="1" t="s">
        <v>636</v>
      </c>
      <c r="E234" s="1" t="s">
        <v>646</v>
      </c>
      <c r="F234" s="1"/>
      <c r="G234" s="1" t="s">
        <v>551</v>
      </c>
      <c r="H234" s="1">
        <v>776011266</v>
      </c>
      <c r="I234" s="1"/>
      <c r="J234" s="1"/>
      <c r="K234" s="1" t="s">
        <v>592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512</v>
      </c>
      <c r="B235" s="1" t="s">
        <v>513</v>
      </c>
      <c r="C235" s="1" t="s">
        <v>637</v>
      </c>
      <c r="D235" s="1" t="s">
        <v>636</v>
      </c>
      <c r="E235" s="1" t="s">
        <v>670</v>
      </c>
      <c r="F235" s="1"/>
      <c r="G235" s="1" t="s">
        <v>551</v>
      </c>
      <c r="H235" s="1">
        <v>778830798</v>
      </c>
      <c r="I235" s="1"/>
      <c r="J235" s="1"/>
      <c r="K235" s="1" t="s">
        <v>614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862</v>
      </c>
      <c r="C236" s="1" t="s">
        <v>863</v>
      </c>
      <c r="D236" s="1" t="s">
        <v>638</v>
      </c>
      <c r="E236" s="1" t="s">
        <v>653</v>
      </c>
      <c r="F236" s="1"/>
      <c r="G236" s="1" t="s">
        <v>553</v>
      </c>
      <c r="H236" s="1">
        <v>777272646</v>
      </c>
      <c r="I236" s="1"/>
      <c r="J236" s="1"/>
      <c r="K236" s="1" t="s">
        <v>592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637</v>
      </c>
      <c r="D237" s="1" t="s">
        <v>636</v>
      </c>
      <c r="E237" s="1" t="s">
        <v>646</v>
      </c>
      <c r="F237" s="1"/>
      <c r="G237" s="1" t="s">
        <v>551</v>
      </c>
      <c r="H237" s="1">
        <v>756291143</v>
      </c>
      <c r="I237" s="1"/>
      <c r="J237" s="1"/>
      <c r="K237" s="1" t="s">
        <v>592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510</v>
      </c>
      <c r="B238" s="1" t="s">
        <v>511</v>
      </c>
      <c r="C238" s="1" t="s">
        <v>637</v>
      </c>
      <c r="D238" s="1" t="s">
        <v>638</v>
      </c>
      <c r="E238" s="1" t="s">
        <v>654</v>
      </c>
      <c r="F238" s="1"/>
      <c r="G238" s="1" t="s">
        <v>553</v>
      </c>
      <c r="H238" s="1">
        <v>766164047</v>
      </c>
      <c r="I238" s="1"/>
      <c r="J238" s="1"/>
      <c r="K238" s="1" t="s">
        <v>613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813</v>
      </c>
      <c r="C239" s="1" t="s">
        <v>814</v>
      </c>
      <c r="D239" s="1" t="s">
        <v>638</v>
      </c>
      <c r="E239" s="1">
        <v>0</v>
      </c>
      <c r="F239" s="1"/>
      <c r="G239" s="1" t="s">
        <v>553</v>
      </c>
      <c r="H239" s="1">
        <v>718730745</v>
      </c>
      <c r="I239" s="1"/>
      <c r="J239" s="1"/>
      <c r="K239" s="1" t="s">
        <v>592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719</v>
      </c>
      <c r="C240" s="1" t="s">
        <v>720</v>
      </c>
      <c r="D240" s="1" t="s">
        <v>639</v>
      </c>
      <c r="E240" s="1" t="s">
        <v>949</v>
      </c>
      <c r="F240" s="1"/>
      <c r="G240" s="1" t="s">
        <v>554</v>
      </c>
      <c r="H240" s="1">
        <v>772610921</v>
      </c>
      <c r="I240" s="1">
        <v>777328310</v>
      </c>
      <c r="J240" s="1"/>
      <c r="K240" s="1" t="s">
        <v>592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719</v>
      </c>
      <c r="C241" s="1" t="s">
        <v>878</v>
      </c>
      <c r="D241" s="1" t="s">
        <v>639</v>
      </c>
      <c r="E241" s="8" t="s">
        <v>959</v>
      </c>
      <c r="F241" s="1"/>
      <c r="G241" s="1" t="s">
        <v>554</v>
      </c>
      <c r="H241" s="1" t="s">
        <v>557</v>
      </c>
      <c r="I241" s="1"/>
      <c r="J241" s="1"/>
      <c r="K241" s="1" t="s">
        <v>592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690</v>
      </c>
      <c r="C242" s="1" t="s">
        <v>679</v>
      </c>
      <c r="D242" s="1" t="s">
        <v>636</v>
      </c>
      <c r="E242" s="1" t="s">
        <v>641</v>
      </c>
      <c r="F242" s="1"/>
      <c r="G242" s="1" t="s">
        <v>551</v>
      </c>
      <c r="H242" s="1">
        <v>777607657</v>
      </c>
      <c r="I242" s="1"/>
      <c r="J242" s="1"/>
      <c r="K242" s="1" t="s">
        <v>592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751</v>
      </c>
      <c r="C243" s="1" t="s">
        <v>752</v>
      </c>
      <c r="D243" s="1" t="s">
        <v>639</v>
      </c>
      <c r="E243" s="1" t="s">
        <v>648</v>
      </c>
      <c r="F243" s="1"/>
      <c r="G243" s="1" t="s">
        <v>554</v>
      </c>
      <c r="H243" s="1" t="s">
        <v>555</v>
      </c>
      <c r="I243" s="1"/>
      <c r="J243" s="1"/>
      <c r="K243" s="1" t="s">
        <v>592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751</v>
      </c>
      <c r="C244" s="1" t="s">
        <v>755</v>
      </c>
      <c r="D244" s="1" t="s">
        <v>639</v>
      </c>
      <c r="E244" s="1" t="s">
        <v>648</v>
      </c>
      <c r="F244" s="1"/>
      <c r="G244" s="1" t="s">
        <v>554</v>
      </c>
      <c r="H244" s="1" t="s">
        <v>555</v>
      </c>
      <c r="I244" s="1"/>
      <c r="J244" s="1"/>
      <c r="K244" s="1" t="s">
        <v>592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536</v>
      </c>
      <c r="B245" s="1" t="s">
        <v>751</v>
      </c>
      <c r="C245" s="1" t="s">
        <v>940</v>
      </c>
      <c r="D245" s="1" t="s">
        <v>639</v>
      </c>
      <c r="E245" s="1" t="s">
        <v>648</v>
      </c>
      <c r="F245" s="1"/>
      <c r="G245" s="1" t="s">
        <v>554</v>
      </c>
      <c r="H245" s="1" t="s">
        <v>555</v>
      </c>
      <c r="I245" s="1"/>
      <c r="J245" s="1"/>
      <c r="K245" s="1" t="s">
        <v>627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498</v>
      </c>
      <c r="B246" s="1" t="s">
        <v>499</v>
      </c>
      <c r="C246" s="1" t="s">
        <v>637</v>
      </c>
      <c r="D246" s="1" t="s">
        <v>639</v>
      </c>
      <c r="E246" s="1" t="s">
        <v>648</v>
      </c>
      <c r="F246" s="1"/>
      <c r="G246" s="1" t="s">
        <v>554</v>
      </c>
      <c r="H246" s="1" t="s">
        <v>561</v>
      </c>
      <c r="I246" s="1"/>
      <c r="J246" s="1"/>
      <c r="K246" s="1" t="s">
        <v>607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543</v>
      </c>
      <c r="B247" s="4" t="s">
        <v>544</v>
      </c>
      <c r="C247" s="1" t="s">
        <v>637</v>
      </c>
      <c r="D247" s="1" t="s">
        <v>636</v>
      </c>
      <c r="E247" s="9" t="s">
        <v>641</v>
      </c>
      <c r="F247" s="1"/>
      <c r="G247" s="1" t="s">
        <v>551</v>
      </c>
      <c r="H247" s="1">
        <v>774710626</v>
      </c>
      <c r="I247" s="1"/>
      <c r="J247" s="1"/>
      <c r="K247" s="1" t="s">
        <v>633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637</v>
      </c>
      <c r="D248" s="1" t="s">
        <v>655</v>
      </c>
      <c r="E248" s="1" t="s">
        <v>655</v>
      </c>
      <c r="F248" s="1"/>
      <c r="G248" s="1" t="s">
        <v>554</v>
      </c>
      <c r="H248" s="1">
        <v>776167021</v>
      </c>
      <c r="I248" s="1"/>
      <c r="J248" s="1"/>
      <c r="K248" s="1" t="s">
        <v>592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637</v>
      </c>
      <c r="D249" s="1" t="s">
        <v>638</v>
      </c>
      <c r="E249" s="1" t="s">
        <v>654</v>
      </c>
      <c r="F249" s="1"/>
      <c r="G249" s="1" t="s">
        <v>553</v>
      </c>
      <c r="H249" s="1">
        <v>716875053</v>
      </c>
      <c r="I249" s="1"/>
      <c r="J249" s="1"/>
      <c r="K249" s="1" t="s">
        <v>592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637</v>
      </c>
      <c r="D250" s="1" t="s">
        <v>638</v>
      </c>
      <c r="E250" s="1" t="s">
        <v>654</v>
      </c>
      <c r="F250" s="1"/>
      <c r="G250" s="1" t="s">
        <v>553</v>
      </c>
      <c r="H250" s="1" t="s">
        <v>556</v>
      </c>
      <c r="I250" s="1"/>
      <c r="J250" s="1"/>
      <c r="K250" s="1" t="s">
        <v>592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489</v>
      </c>
      <c r="B251" s="1" t="s">
        <v>490</v>
      </c>
      <c r="C251" s="1" t="s">
        <v>637</v>
      </c>
      <c r="D251" s="1" t="s">
        <v>638</v>
      </c>
      <c r="E251" s="1" t="s">
        <v>654</v>
      </c>
      <c r="F251" s="1"/>
      <c r="G251" s="1" t="s">
        <v>553</v>
      </c>
      <c r="H251" s="1" t="s">
        <v>560</v>
      </c>
      <c r="I251" s="1"/>
      <c r="J251" s="1"/>
      <c r="K251" s="1" t="s">
        <v>601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451</v>
      </c>
      <c r="B252" s="1" t="s">
        <v>452</v>
      </c>
      <c r="C252" s="1" t="s">
        <v>637</v>
      </c>
      <c r="D252" s="1" t="s">
        <v>638</v>
      </c>
      <c r="E252" s="1">
        <v>0</v>
      </c>
      <c r="F252" s="1"/>
      <c r="G252" s="1" t="s">
        <v>553</v>
      </c>
      <c r="H252" s="1">
        <v>776926099</v>
      </c>
      <c r="I252" s="1" t="s">
        <v>586</v>
      </c>
      <c r="J252" s="1"/>
      <c r="K252" s="1" t="s">
        <v>592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407</v>
      </c>
      <c r="B253" s="1" t="s">
        <v>408</v>
      </c>
      <c r="C253" s="1" t="s">
        <v>637</v>
      </c>
      <c r="D253" s="1" t="s">
        <v>639</v>
      </c>
      <c r="E253" s="1">
        <v>0</v>
      </c>
      <c r="F253" s="1"/>
      <c r="G253" s="1" t="s">
        <v>554</v>
      </c>
      <c r="H253" s="1">
        <v>772734036</v>
      </c>
      <c r="I253" s="1">
        <v>777796002</v>
      </c>
      <c r="J253" s="1"/>
      <c r="K253" s="1" t="s">
        <v>592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422</v>
      </c>
      <c r="B254" s="1" t="s">
        <v>423</v>
      </c>
      <c r="C254" s="1" t="s">
        <v>637</v>
      </c>
      <c r="D254" s="1" t="s">
        <v>638</v>
      </c>
      <c r="E254" s="1" t="s">
        <v>654</v>
      </c>
      <c r="F254" s="1"/>
      <c r="G254" s="1" t="s">
        <v>553</v>
      </c>
      <c r="H254" s="1">
        <v>768804477</v>
      </c>
      <c r="I254" s="1"/>
      <c r="J254" s="1"/>
      <c r="K254" s="1" t="s">
        <v>592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857</v>
      </c>
      <c r="C255" s="1" t="s">
        <v>858</v>
      </c>
      <c r="D255" s="1" t="s">
        <v>638</v>
      </c>
      <c r="E255" s="1" t="s">
        <v>673</v>
      </c>
      <c r="F255" s="1"/>
      <c r="G255" s="1" t="s">
        <v>553</v>
      </c>
      <c r="H255" s="1">
        <v>777877941</v>
      </c>
      <c r="I255" s="1"/>
      <c r="J255" s="1"/>
      <c r="K255" s="1" t="s">
        <v>592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637</v>
      </c>
      <c r="D256" s="1" t="s">
        <v>636</v>
      </c>
      <c r="E256" s="1" t="s">
        <v>956</v>
      </c>
      <c r="F256" s="1"/>
      <c r="G256" s="1" t="s">
        <v>551</v>
      </c>
      <c r="H256" s="1">
        <v>778146018</v>
      </c>
      <c r="I256" s="1"/>
      <c r="J256" s="1"/>
      <c r="K256" s="1" t="s">
        <v>592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817</v>
      </c>
      <c r="C257" s="1" t="s">
        <v>818</v>
      </c>
      <c r="D257" s="1" t="s">
        <v>638</v>
      </c>
      <c r="E257" s="1" t="s">
        <v>653</v>
      </c>
      <c r="F257" s="1"/>
      <c r="G257" s="1" t="s">
        <v>553</v>
      </c>
      <c r="H257" s="1">
        <v>729910718</v>
      </c>
      <c r="I257" s="1" t="s">
        <v>581</v>
      </c>
      <c r="J257" s="1"/>
      <c r="K257" s="1" t="s">
        <v>592</v>
      </c>
      <c r="L257" s="7" t="str">
        <f>CONCATENATE(A257, " - ", Table1[[#This Row],[Farm Name]])</f>
        <v>C00435 -  Marikkar</v>
      </c>
    </row>
    <row r="258" spans="1:12" x14ac:dyDescent="0.25">
      <c r="A258" s="1" t="s">
        <v>522</v>
      </c>
      <c r="B258" s="1" t="s">
        <v>523</v>
      </c>
      <c r="C258" s="1" t="s">
        <v>637</v>
      </c>
      <c r="D258" s="1" t="s">
        <v>636</v>
      </c>
      <c r="E258" s="1" t="s">
        <v>666</v>
      </c>
      <c r="F258" s="1"/>
      <c r="G258" s="1" t="s">
        <v>551</v>
      </c>
      <c r="H258" s="1"/>
      <c r="I258" s="1"/>
      <c r="J258" s="1"/>
      <c r="K258" s="1" t="s">
        <v>620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531</v>
      </c>
      <c r="B259" s="1" t="s">
        <v>532</v>
      </c>
      <c r="C259" s="1" t="s">
        <v>637</v>
      </c>
      <c r="D259" s="1" t="s">
        <v>639</v>
      </c>
      <c r="E259" s="1" t="s">
        <v>649</v>
      </c>
      <c r="F259" s="1"/>
      <c r="G259" s="1" t="s">
        <v>554</v>
      </c>
      <c r="H259" s="1">
        <v>777696387</v>
      </c>
      <c r="I259" s="1"/>
      <c r="J259" s="1"/>
      <c r="K259" s="1" t="s">
        <v>625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637</v>
      </c>
      <c r="D260" s="1" t="s">
        <v>639</v>
      </c>
      <c r="E260" s="1" t="s">
        <v>644</v>
      </c>
      <c r="F260" s="1"/>
      <c r="G260" s="1" t="s">
        <v>554</v>
      </c>
      <c r="H260" s="1">
        <v>771478850</v>
      </c>
      <c r="I260" s="1">
        <v>322258784</v>
      </c>
      <c r="J260" s="1"/>
      <c r="K260" s="1" t="s">
        <v>592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373</v>
      </c>
      <c r="B261" s="1" t="s">
        <v>374</v>
      </c>
      <c r="C261" s="1" t="s">
        <v>637</v>
      </c>
      <c r="D261" s="1" t="s">
        <v>638</v>
      </c>
      <c r="E261" s="1" t="s">
        <v>654</v>
      </c>
      <c r="F261" s="1"/>
      <c r="G261" s="1" t="s">
        <v>553</v>
      </c>
      <c r="H261" s="1">
        <v>773429899</v>
      </c>
      <c r="I261" s="1"/>
      <c r="J261" s="1"/>
      <c r="K261" s="1" t="s">
        <v>592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432</v>
      </c>
      <c r="B262" s="1" t="s">
        <v>915</v>
      </c>
      <c r="C262" s="1" t="s">
        <v>775</v>
      </c>
      <c r="D262" s="1" t="s">
        <v>638</v>
      </c>
      <c r="E262" s="1" t="s">
        <v>654</v>
      </c>
      <c r="F262" s="1"/>
      <c r="G262" s="1" t="s">
        <v>553</v>
      </c>
      <c r="H262" s="1">
        <v>773429899</v>
      </c>
      <c r="I262" s="1"/>
      <c r="J262" s="1"/>
      <c r="K262" s="1" t="s">
        <v>592</v>
      </c>
      <c r="L262" s="7" t="str">
        <f>CONCATENATE(A262, " - ", Table1[[#This Row],[Farm Name]])</f>
        <v>C00716 -  Farm 1</v>
      </c>
    </row>
    <row r="263" spans="1:12" x14ac:dyDescent="0.25">
      <c r="A263" s="1" t="s">
        <v>433</v>
      </c>
      <c r="B263" s="1" t="s">
        <v>915</v>
      </c>
      <c r="C263" s="1" t="s">
        <v>916</v>
      </c>
      <c r="D263" s="1" t="s">
        <v>638</v>
      </c>
      <c r="E263" s="1" t="s">
        <v>654</v>
      </c>
      <c r="F263" s="1"/>
      <c r="G263" s="1" t="s">
        <v>553</v>
      </c>
      <c r="H263" s="1">
        <v>773429899</v>
      </c>
      <c r="I263" s="1"/>
      <c r="J263" s="1"/>
      <c r="K263" s="1" t="s">
        <v>592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637</v>
      </c>
      <c r="D264" s="1" t="s">
        <v>636</v>
      </c>
      <c r="E264" s="1" t="s">
        <v>641</v>
      </c>
      <c r="F264" s="1"/>
      <c r="G264" s="1" t="s">
        <v>551</v>
      </c>
      <c r="H264" s="1">
        <v>767350010</v>
      </c>
      <c r="I264" s="1"/>
      <c r="J264" s="1"/>
      <c r="K264" s="1" t="s">
        <v>592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769</v>
      </c>
      <c r="C265" s="1" t="s">
        <v>770</v>
      </c>
      <c r="D265" s="1" t="s">
        <v>636</v>
      </c>
      <c r="E265" s="1" t="s">
        <v>641</v>
      </c>
      <c r="F265" s="1"/>
      <c r="G265" s="1" t="s">
        <v>551</v>
      </c>
      <c r="H265" s="1">
        <v>777820178</v>
      </c>
      <c r="I265" s="1"/>
      <c r="J265" s="1"/>
      <c r="K265" s="1" t="s">
        <v>592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769</v>
      </c>
      <c r="C266" s="1" t="s">
        <v>771</v>
      </c>
      <c r="D266" s="1" t="s">
        <v>636</v>
      </c>
      <c r="E266" s="1" t="s">
        <v>641</v>
      </c>
      <c r="F266" s="1"/>
      <c r="G266" s="1" t="s">
        <v>551</v>
      </c>
      <c r="H266" s="1">
        <v>777820178</v>
      </c>
      <c r="I266" s="1"/>
      <c r="J266" s="1"/>
      <c r="K266" s="1" t="s">
        <v>592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769</v>
      </c>
      <c r="C267" s="1" t="s">
        <v>878</v>
      </c>
      <c r="D267" s="1" t="s">
        <v>636</v>
      </c>
      <c r="E267" s="1" t="s">
        <v>641</v>
      </c>
      <c r="F267" s="1"/>
      <c r="G267" s="1" t="s">
        <v>551</v>
      </c>
      <c r="H267" s="1">
        <v>777820178</v>
      </c>
      <c r="I267" s="1"/>
      <c r="J267" s="1"/>
      <c r="K267" s="1" t="s">
        <v>592</v>
      </c>
      <c r="L267" s="7" t="str">
        <f>CONCATENATE(A267, " - ", Table1[[#This Row],[Farm Name]])</f>
        <v>C00589 -  Farm B</v>
      </c>
    </row>
    <row r="268" spans="1:12" x14ac:dyDescent="0.25">
      <c r="A268" s="1" t="s">
        <v>475</v>
      </c>
      <c r="B268" s="1" t="s">
        <v>476</v>
      </c>
      <c r="C268" s="1" t="s">
        <v>637</v>
      </c>
      <c r="D268" s="1" t="s">
        <v>636</v>
      </c>
      <c r="E268" s="1" t="s">
        <v>672</v>
      </c>
      <c r="F268" s="1"/>
      <c r="G268" s="1" t="s">
        <v>551</v>
      </c>
      <c r="H268" s="1">
        <v>722874861</v>
      </c>
      <c r="I268" s="1"/>
      <c r="J268" s="1"/>
      <c r="K268" s="1" t="s">
        <v>595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875</v>
      </c>
      <c r="C269" s="1" t="s">
        <v>876</v>
      </c>
      <c r="D269" s="1" t="s">
        <v>638</v>
      </c>
      <c r="E269" s="1" t="s">
        <v>654</v>
      </c>
      <c r="F269" s="1"/>
      <c r="G269" s="1" t="s">
        <v>553</v>
      </c>
      <c r="H269" s="1"/>
      <c r="I269" s="1"/>
      <c r="J269" s="1"/>
      <c r="K269" s="1" t="s">
        <v>592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772</v>
      </c>
      <c r="C270" s="1" t="s">
        <v>679</v>
      </c>
      <c r="D270" s="1" t="s">
        <v>636</v>
      </c>
      <c r="E270" s="1" t="s">
        <v>641</v>
      </c>
      <c r="F270" s="1"/>
      <c r="G270" s="1" t="s">
        <v>551</v>
      </c>
      <c r="H270" s="1">
        <v>778169058</v>
      </c>
      <c r="I270" s="1"/>
      <c r="J270" s="1"/>
      <c r="K270" s="1" t="s">
        <v>592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772</v>
      </c>
      <c r="C271" s="1" t="s">
        <v>773</v>
      </c>
      <c r="D271" s="1" t="s">
        <v>636</v>
      </c>
      <c r="E271" s="1" t="s">
        <v>641</v>
      </c>
      <c r="F271" s="1"/>
      <c r="G271" s="1" t="s">
        <v>551</v>
      </c>
      <c r="H271" s="1">
        <v>778169058</v>
      </c>
      <c r="I271" s="1"/>
      <c r="J271" s="1"/>
      <c r="K271" s="1" t="s">
        <v>592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772</v>
      </c>
      <c r="C272" s="1" t="s">
        <v>774</v>
      </c>
      <c r="D272" s="1" t="s">
        <v>636</v>
      </c>
      <c r="E272" s="1" t="s">
        <v>641</v>
      </c>
      <c r="F272" s="1"/>
      <c r="G272" s="1" t="s">
        <v>551</v>
      </c>
      <c r="H272" s="1">
        <v>778169058</v>
      </c>
      <c r="I272" s="1"/>
      <c r="J272" s="1"/>
      <c r="K272" s="1" t="s">
        <v>592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799</v>
      </c>
      <c r="C273" s="1" t="s">
        <v>800</v>
      </c>
      <c r="D273" s="1" t="s">
        <v>638</v>
      </c>
      <c r="E273" s="1" t="s">
        <v>654</v>
      </c>
      <c r="F273" s="1"/>
      <c r="G273" s="1" t="s">
        <v>553</v>
      </c>
      <c r="H273" s="1">
        <v>777032817</v>
      </c>
      <c r="I273" s="1"/>
      <c r="J273" s="1"/>
      <c r="K273" s="1" t="s">
        <v>592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637</v>
      </c>
      <c r="D274" s="1" t="s">
        <v>638</v>
      </c>
      <c r="E274" s="1" t="s">
        <v>653</v>
      </c>
      <c r="F274" s="1"/>
      <c r="G274" s="1" t="s">
        <v>553</v>
      </c>
      <c r="H274" s="1">
        <v>718002297</v>
      </c>
      <c r="I274" s="1"/>
      <c r="J274" s="1"/>
      <c r="K274" s="1" t="s">
        <v>592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832</v>
      </c>
      <c r="C275" s="1" t="s">
        <v>833</v>
      </c>
      <c r="D275" s="1" t="s">
        <v>638</v>
      </c>
      <c r="E275" s="1" t="s">
        <v>653</v>
      </c>
      <c r="F275" s="1"/>
      <c r="G275" s="1" t="s">
        <v>553</v>
      </c>
      <c r="H275" s="1">
        <v>718002297</v>
      </c>
      <c r="I275" s="1"/>
      <c r="J275" s="1"/>
      <c r="K275" s="1" t="s">
        <v>592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832</v>
      </c>
      <c r="C276" s="1" t="s">
        <v>834</v>
      </c>
      <c r="D276" s="1" t="s">
        <v>638</v>
      </c>
      <c r="E276" s="1" t="s">
        <v>653</v>
      </c>
      <c r="F276" s="1"/>
      <c r="G276" s="1" t="s">
        <v>553</v>
      </c>
      <c r="H276" s="1">
        <v>718002297</v>
      </c>
      <c r="I276" s="1"/>
      <c r="J276" s="1"/>
      <c r="K276" s="1" t="s">
        <v>592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547</v>
      </c>
      <c r="B277" s="1" t="s">
        <v>548</v>
      </c>
      <c r="C277" s="1" t="s">
        <v>637</v>
      </c>
      <c r="D277" s="1" t="s">
        <v>639</v>
      </c>
      <c r="E277" s="1" t="s">
        <v>644</v>
      </c>
      <c r="F277" s="1"/>
      <c r="G277" s="1" t="s">
        <v>554</v>
      </c>
      <c r="H277" s="1">
        <v>762929996</v>
      </c>
      <c r="I277" s="1"/>
      <c r="J277" s="1"/>
      <c r="K277" s="1" t="s">
        <v>634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637</v>
      </c>
      <c r="D278" s="1" t="s">
        <v>638</v>
      </c>
      <c r="E278" s="1" t="s">
        <v>654</v>
      </c>
      <c r="F278" s="1"/>
      <c r="G278" s="1" t="s">
        <v>553</v>
      </c>
      <c r="H278" s="1">
        <v>774002391</v>
      </c>
      <c r="I278" s="1"/>
      <c r="J278" s="1"/>
      <c r="K278" s="1" t="s">
        <v>592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855</v>
      </c>
      <c r="C279" s="1" t="s">
        <v>856</v>
      </c>
      <c r="D279" s="1" t="s">
        <v>638</v>
      </c>
      <c r="E279" s="1" t="s">
        <v>654</v>
      </c>
      <c r="F279" s="1"/>
      <c r="G279" s="1" t="s">
        <v>553</v>
      </c>
      <c r="H279" s="1">
        <v>774002391</v>
      </c>
      <c r="I279" s="1"/>
      <c r="J279" s="1"/>
      <c r="K279" s="1" t="s">
        <v>592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855</v>
      </c>
      <c r="C280" s="1" t="s">
        <v>776</v>
      </c>
      <c r="D280" s="1" t="s">
        <v>638</v>
      </c>
      <c r="E280" s="1" t="s">
        <v>654</v>
      </c>
      <c r="F280" s="1"/>
      <c r="G280" s="1" t="s">
        <v>553</v>
      </c>
      <c r="H280" s="1">
        <v>774002391</v>
      </c>
      <c r="I280" s="1"/>
      <c r="J280" s="1"/>
      <c r="K280" s="1" t="s">
        <v>592</v>
      </c>
      <c r="L280" s="7" t="str">
        <f>CONCATENATE(A280, " - ", Table1[[#This Row],[Farm Name]])</f>
        <v>C00485 -  Farm 2</v>
      </c>
    </row>
    <row r="281" spans="1:12" x14ac:dyDescent="0.25">
      <c r="A281" s="1" t="s">
        <v>453</v>
      </c>
      <c r="B281" s="1" t="s">
        <v>784</v>
      </c>
      <c r="C281" s="1" t="s">
        <v>925</v>
      </c>
      <c r="D281" s="1" t="s">
        <v>638</v>
      </c>
      <c r="E281" s="4" t="s">
        <v>654</v>
      </c>
      <c r="F281" s="1"/>
      <c r="G281" s="1" t="s">
        <v>553</v>
      </c>
      <c r="H281" s="1">
        <v>774911455</v>
      </c>
      <c r="I281" s="1"/>
      <c r="J281" s="1"/>
      <c r="K281" s="1" t="s">
        <v>592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811</v>
      </c>
      <c r="C282" s="1" t="s">
        <v>812</v>
      </c>
      <c r="D282" s="1" t="s">
        <v>638</v>
      </c>
      <c r="E282" s="1" t="s">
        <v>653</v>
      </c>
      <c r="F282" s="1"/>
      <c r="G282" s="1" t="s">
        <v>553</v>
      </c>
      <c r="H282" s="1">
        <v>777348774</v>
      </c>
      <c r="I282" s="1"/>
      <c r="J282" s="1"/>
      <c r="K282" s="1" t="s">
        <v>592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637</v>
      </c>
      <c r="D283" s="1" t="s">
        <v>638</v>
      </c>
      <c r="E283" s="1" t="s">
        <v>653</v>
      </c>
      <c r="F283" s="1"/>
      <c r="G283" s="1" t="s">
        <v>553</v>
      </c>
      <c r="H283" s="1">
        <v>777778294</v>
      </c>
      <c r="I283" s="1"/>
      <c r="J283" s="1"/>
      <c r="K283" s="1" t="s">
        <v>592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839</v>
      </c>
      <c r="C284" s="1" t="s">
        <v>840</v>
      </c>
      <c r="D284" s="1" t="s">
        <v>638</v>
      </c>
      <c r="E284" s="1" t="s">
        <v>653</v>
      </c>
      <c r="F284" s="1"/>
      <c r="G284" s="1" t="s">
        <v>553</v>
      </c>
      <c r="H284" s="1">
        <v>777778294</v>
      </c>
      <c r="I284" s="1"/>
      <c r="J284" s="1"/>
      <c r="K284" s="1" t="s">
        <v>592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888</v>
      </c>
      <c r="C285" s="1" t="s">
        <v>889</v>
      </c>
      <c r="D285" s="1" t="s">
        <v>638</v>
      </c>
      <c r="E285" s="1" t="s">
        <v>650</v>
      </c>
      <c r="F285" s="1"/>
      <c r="G285" s="1" t="s">
        <v>553</v>
      </c>
      <c r="H285" s="1">
        <v>770055528</v>
      </c>
      <c r="I285" s="1"/>
      <c r="J285" s="1">
        <v>26771610461</v>
      </c>
      <c r="K285" s="1" t="s">
        <v>592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359</v>
      </c>
      <c r="C286" s="1" t="s">
        <v>667</v>
      </c>
      <c r="D286" s="1" t="s">
        <v>636</v>
      </c>
      <c r="E286" s="1" t="s">
        <v>667</v>
      </c>
      <c r="F286" s="1"/>
      <c r="G286" s="1" t="s">
        <v>551</v>
      </c>
      <c r="H286" s="1"/>
      <c r="I286" s="1"/>
      <c r="J286" s="1"/>
      <c r="K286" s="1"/>
      <c r="L286" s="7" t="str">
        <f>CONCATENATE(A286, " - ", Table1[[#This Row],[Farm Name]])</f>
        <v>C00610 - Pinkattiya</v>
      </c>
    </row>
    <row r="287" spans="1:12" x14ac:dyDescent="0.25">
      <c r="A287" s="1" t="s">
        <v>209</v>
      </c>
      <c r="B287" s="1" t="s">
        <v>788</v>
      </c>
      <c r="C287" s="1" t="s">
        <v>789</v>
      </c>
      <c r="D287" s="1" t="s">
        <v>638</v>
      </c>
      <c r="E287" s="1" t="s">
        <v>653</v>
      </c>
      <c r="F287" s="1"/>
      <c r="G287" s="1" t="s">
        <v>553</v>
      </c>
      <c r="H287" s="1">
        <v>768646936</v>
      </c>
      <c r="I287" s="1"/>
      <c r="J287" s="1"/>
      <c r="K287" s="1" t="s">
        <v>592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737</v>
      </c>
      <c r="C288" s="1" t="s">
        <v>738</v>
      </c>
      <c r="D288" s="1" t="s">
        <v>655</v>
      </c>
      <c r="E288" s="4" t="s">
        <v>659</v>
      </c>
      <c r="F288" s="1"/>
      <c r="G288" s="1" t="s">
        <v>554</v>
      </c>
      <c r="H288" s="1">
        <v>774629907</v>
      </c>
      <c r="I288" s="1"/>
      <c r="J288" s="1"/>
      <c r="K288" s="1" t="s">
        <v>592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737</v>
      </c>
      <c r="C289" s="1" t="s">
        <v>730</v>
      </c>
      <c r="D289" s="1" t="s">
        <v>655</v>
      </c>
      <c r="E289" s="1" t="s">
        <v>658</v>
      </c>
      <c r="F289" s="1"/>
      <c r="G289" s="1" t="s">
        <v>554</v>
      </c>
      <c r="H289" s="1">
        <v>774629907</v>
      </c>
      <c r="I289" s="1"/>
      <c r="J289" s="1"/>
      <c r="K289" s="1" t="s">
        <v>592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737</v>
      </c>
      <c r="C290" s="1" t="s">
        <v>741</v>
      </c>
      <c r="D290" s="1" t="s">
        <v>655</v>
      </c>
      <c r="E290" s="1" t="s">
        <v>658</v>
      </c>
      <c r="F290" s="1"/>
      <c r="G290" s="1" t="s">
        <v>554</v>
      </c>
      <c r="H290" s="1">
        <v>774629907</v>
      </c>
      <c r="I290" s="1"/>
      <c r="J290" s="1"/>
      <c r="K290" s="1" t="s">
        <v>592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637</v>
      </c>
      <c r="D291" s="1" t="s">
        <v>638</v>
      </c>
      <c r="E291" s="1" t="s">
        <v>654</v>
      </c>
      <c r="F291" s="1"/>
      <c r="G291" s="1" t="s">
        <v>553</v>
      </c>
      <c r="H291" s="1">
        <v>768209463</v>
      </c>
      <c r="I291" s="1"/>
      <c r="J291" s="1"/>
      <c r="K291" s="1" t="s">
        <v>592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637</v>
      </c>
      <c r="D292" s="1" t="s">
        <v>636</v>
      </c>
      <c r="E292" s="1" t="s">
        <v>646</v>
      </c>
      <c r="F292" s="1"/>
      <c r="G292" s="1" t="s">
        <v>551</v>
      </c>
      <c r="H292" s="1">
        <v>776646760</v>
      </c>
      <c r="I292" s="1"/>
      <c r="J292" s="1"/>
      <c r="K292" s="1" t="s">
        <v>592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838</v>
      </c>
      <c r="C293" s="1" t="s">
        <v>837</v>
      </c>
      <c r="D293" s="1" t="s">
        <v>638</v>
      </c>
      <c r="E293" s="1" t="s">
        <v>653</v>
      </c>
      <c r="F293" s="1"/>
      <c r="G293" s="1" t="s">
        <v>553</v>
      </c>
      <c r="H293" s="1">
        <v>777327814</v>
      </c>
      <c r="I293" s="1"/>
      <c r="J293" s="1"/>
      <c r="K293" s="1" t="s">
        <v>592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637</v>
      </c>
      <c r="D294" s="1" t="s">
        <v>638</v>
      </c>
      <c r="E294" s="1" t="s">
        <v>653</v>
      </c>
      <c r="F294" s="1"/>
      <c r="G294" s="1" t="s">
        <v>553</v>
      </c>
      <c r="H294" s="1">
        <v>774394849</v>
      </c>
      <c r="I294" s="1"/>
      <c r="J294" s="1"/>
      <c r="K294" s="1" t="s">
        <v>592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377</v>
      </c>
      <c r="B295" s="1" t="s">
        <v>378</v>
      </c>
      <c r="C295" s="1" t="s">
        <v>637</v>
      </c>
      <c r="D295" s="1" t="s">
        <v>638</v>
      </c>
      <c r="E295" s="1" t="s">
        <v>650</v>
      </c>
      <c r="F295" s="1"/>
      <c r="G295" s="1" t="s">
        <v>553</v>
      </c>
      <c r="H295" s="1">
        <v>702585696</v>
      </c>
      <c r="I295" s="1"/>
      <c r="J295" s="1"/>
      <c r="K295" s="1" t="s">
        <v>592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637</v>
      </c>
      <c r="D296" s="1" t="s">
        <v>638</v>
      </c>
      <c r="E296" s="1" t="s">
        <v>654</v>
      </c>
      <c r="F296" s="1"/>
      <c r="G296" s="1" t="s">
        <v>553</v>
      </c>
      <c r="H296" s="1">
        <v>715576552</v>
      </c>
      <c r="I296" s="1" t="s">
        <v>583</v>
      </c>
      <c r="J296" s="1"/>
      <c r="K296" s="1" t="s">
        <v>592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716</v>
      </c>
      <c r="C297" s="1" t="s">
        <v>717</v>
      </c>
      <c r="D297" s="1" t="s">
        <v>638</v>
      </c>
      <c r="E297" s="1" t="s">
        <v>653</v>
      </c>
      <c r="F297" s="1"/>
      <c r="G297" s="1" t="s">
        <v>553</v>
      </c>
      <c r="H297" s="1">
        <v>777360965</v>
      </c>
      <c r="I297" s="1"/>
      <c r="J297" s="1"/>
      <c r="K297" s="1" t="s">
        <v>592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716</v>
      </c>
      <c r="C298" s="1" t="s">
        <v>718</v>
      </c>
      <c r="D298" s="1" t="s">
        <v>638</v>
      </c>
      <c r="E298" s="1">
        <v>0</v>
      </c>
      <c r="F298" s="1"/>
      <c r="G298" s="1" t="s">
        <v>553</v>
      </c>
      <c r="H298" s="1">
        <v>777360965</v>
      </c>
      <c r="I298" s="1"/>
      <c r="J298" s="1"/>
      <c r="K298" s="1" t="s">
        <v>592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637</v>
      </c>
      <c r="D299" s="1" t="s">
        <v>638</v>
      </c>
      <c r="E299" s="1">
        <v>0</v>
      </c>
      <c r="F299" s="1"/>
      <c r="G299" s="1" t="s">
        <v>553</v>
      </c>
      <c r="H299" s="1">
        <v>779780542</v>
      </c>
      <c r="I299" s="1"/>
      <c r="J299" s="1"/>
      <c r="K299" s="1" t="s">
        <v>592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820</v>
      </c>
      <c r="C300" s="1" t="s">
        <v>821</v>
      </c>
      <c r="D300" s="1" t="s">
        <v>638</v>
      </c>
      <c r="E300" s="1" t="s">
        <v>654</v>
      </c>
      <c r="F300" s="1"/>
      <c r="G300" s="1" t="s">
        <v>553</v>
      </c>
      <c r="H300" s="1">
        <v>779780545</v>
      </c>
      <c r="I300" s="1"/>
      <c r="J300" s="1"/>
      <c r="K300" s="1" t="s">
        <v>592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820</v>
      </c>
      <c r="C301" s="1" t="s">
        <v>822</v>
      </c>
      <c r="D301" s="1" t="s">
        <v>638</v>
      </c>
      <c r="E301" s="1" t="s">
        <v>654</v>
      </c>
      <c r="F301" s="1"/>
      <c r="G301" s="1" t="s">
        <v>553</v>
      </c>
      <c r="H301" s="1">
        <v>779780545</v>
      </c>
      <c r="I301" s="1"/>
      <c r="J301" s="1"/>
      <c r="K301" s="1" t="s">
        <v>592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886</v>
      </c>
      <c r="C302" s="1" t="s">
        <v>796</v>
      </c>
      <c r="D302" s="1" t="s">
        <v>638</v>
      </c>
      <c r="E302" s="1" t="s">
        <v>653</v>
      </c>
      <c r="F302" s="1"/>
      <c r="G302" s="1" t="s">
        <v>553</v>
      </c>
      <c r="H302" s="1">
        <v>772425978</v>
      </c>
      <c r="I302" s="1"/>
      <c r="J302" s="1"/>
      <c r="K302" s="1" t="s">
        <v>592</v>
      </c>
      <c r="L302" s="7" t="str">
        <f>CONCATENATE(A302, " - ", Table1[[#This Row],[Farm Name]])</f>
        <v>C00598 - Farm 1</v>
      </c>
    </row>
    <row r="303" spans="1:12" x14ac:dyDescent="0.25">
      <c r="A303" s="1" t="s">
        <v>537</v>
      </c>
      <c r="B303" s="1" t="s">
        <v>886</v>
      </c>
      <c r="C303" s="1" t="s">
        <v>880</v>
      </c>
      <c r="D303" s="1" t="s">
        <v>638</v>
      </c>
      <c r="E303" s="1" t="s">
        <v>653</v>
      </c>
      <c r="F303" s="1"/>
      <c r="G303" s="1" t="s">
        <v>553</v>
      </c>
      <c r="H303" s="1">
        <v>772425978</v>
      </c>
      <c r="I303" s="1"/>
      <c r="J303" s="1"/>
      <c r="K303" s="1" t="s">
        <v>628</v>
      </c>
      <c r="L303" s="7" t="str">
        <f>CONCATENATE(A303, " - ", Table1[[#This Row],[Farm Name]])</f>
        <v>C00863 - Farm 2</v>
      </c>
    </row>
    <row r="304" spans="1:12" x14ac:dyDescent="0.25">
      <c r="A304" s="1" t="s">
        <v>508</v>
      </c>
      <c r="B304" s="1" t="s">
        <v>509</v>
      </c>
      <c r="C304" s="1" t="s">
        <v>637</v>
      </c>
      <c r="D304" s="1" t="s">
        <v>636</v>
      </c>
      <c r="E304" s="1" t="s">
        <v>669</v>
      </c>
      <c r="F304" s="1"/>
      <c r="G304" s="1" t="s">
        <v>551</v>
      </c>
      <c r="H304" s="1">
        <v>776565928</v>
      </c>
      <c r="I304" s="1"/>
      <c r="J304" s="1"/>
      <c r="K304" s="1" t="s">
        <v>612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637</v>
      </c>
      <c r="D305" s="1" t="s">
        <v>638</v>
      </c>
      <c r="E305" s="1" t="s">
        <v>653</v>
      </c>
      <c r="F305" s="1"/>
      <c r="G305" s="1" t="s">
        <v>553</v>
      </c>
      <c r="H305" s="1">
        <v>711902460</v>
      </c>
      <c r="I305" s="1" t="s">
        <v>584</v>
      </c>
      <c r="J305" s="1"/>
      <c r="K305" s="1" t="s">
        <v>592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534</v>
      </c>
      <c r="B306" s="1" t="s">
        <v>535</v>
      </c>
      <c r="C306" s="1" t="s">
        <v>637</v>
      </c>
      <c r="D306" s="1" t="s">
        <v>639</v>
      </c>
      <c r="E306" s="1" t="s">
        <v>648</v>
      </c>
      <c r="F306" s="1"/>
      <c r="G306" s="1" t="s">
        <v>554</v>
      </c>
      <c r="H306" s="1">
        <v>773157415</v>
      </c>
      <c r="I306" s="1"/>
      <c r="J306" s="1"/>
      <c r="K306" s="1" t="s">
        <v>626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419</v>
      </c>
      <c r="B307" s="1" t="s">
        <v>420</v>
      </c>
      <c r="C307" s="1" t="s">
        <v>637</v>
      </c>
      <c r="D307" s="1" t="s">
        <v>639</v>
      </c>
      <c r="E307" s="1" t="s">
        <v>648</v>
      </c>
      <c r="F307" s="1"/>
      <c r="G307" s="1" t="s">
        <v>554</v>
      </c>
      <c r="H307" s="1">
        <v>775145805</v>
      </c>
      <c r="I307" s="1"/>
      <c r="J307" s="1"/>
      <c r="K307" s="1" t="s">
        <v>592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879</v>
      </c>
      <c r="C308" s="1" t="s">
        <v>880</v>
      </c>
      <c r="D308" s="1" t="s">
        <v>639</v>
      </c>
      <c r="E308" s="1" t="s">
        <v>644</v>
      </c>
      <c r="F308" s="1"/>
      <c r="G308" s="1" t="s">
        <v>554</v>
      </c>
      <c r="H308" s="1">
        <v>761762830</v>
      </c>
      <c r="I308" s="1"/>
      <c r="J308" s="1"/>
      <c r="K308" s="1" t="s">
        <v>592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637</v>
      </c>
      <c r="D309" s="1" t="s">
        <v>638</v>
      </c>
      <c r="E309" s="1" t="s">
        <v>653</v>
      </c>
      <c r="F309" s="1"/>
      <c r="G309" s="1" t="s">
        <v>553</v>
      </c>
      <c r="H309" s="1">
        <v>772900266</v>
      </c>
      <c r="I309" s="1"/>
      <c r="J309" s="1"/>
      <c r="K309" s="1" t="s">
        <v>592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777</v>
      </c>
      <c r="C310" s="1" t="s">
        <v>665</v>
      </c>
      <c r="D310" s="1" t="s">
        <v>636</v>
      </c>
      <c r="E310" s="1" t="s">
        <v>665</v>
      </c>
      <c r="F310" s="1"/>
      <c r="G310" s="1" t="s">
        <v>551</v>
      </c>
      <c r="H310" s="1">
        <v>773120555</v>
      </c>
      <c r="I310" s="1"/>
      <c r="J310" s="1"/>
      <c r="K310" s="1" t="s">
        <v>592</v>
      </c>
      <c r="L310" s="7" t="str">
        <f>CONCATENATE(A310, " - ", Table1[[#This Row],[Farm Name]])</f>
        <v>C00300 - Muthupanthiya</v>
      </c>
    </row>
    <row r="311" spans="1:12" x14ac:dyDescent="0.25">
      <c r="A311" s="1" t="s">
        <v>409</v>
      </c>
      <c r="B311" s="1" t="s">
        <v>777</v>
      </c>
      <c r="C311" s="1" t="s">
        <v>676</v>
      </c>
      <c r="D311" s="1" t="s">
        <v>636</v>
      </c>
      <c r="E311" s="1" t="s">
        <v>676</v>
      </c>
      <c r="F311" s="1"/>
      <c r="G311" s="1" t="s">
        <v>551</v>
      </c>
      <c r="H311" s="1">
        <v>773120555</v>
      </c>
      <c r="I311" s="1"/>
      <c r="J311" s="1"/>
      <c r="K311" s="1" t="s">
        <v>592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781</v>
      </c>
      <c r="C312" s="1" t="s">
        <v>760</v>
      </c>
      <c r="D312" s="1" t="s">
        <v>638</v>
      </c>
      <c r="E312" s="1" t="s">
        <v>654</v>
      </c>
      <c r="F312" s="1"/>
      <c r="G312" s="1" t="s">
        <v>553</v>
      </c>
      <c r="H312" s="1">
        <v>773120555</v>
      </c>
      <c r="I312" s="1"/>
      <c r="J312" s="1"/>
      <c r="K312" s="1" t="s">
        <v>592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637</v>
      </c>
      <c r="D313" s="1" t="s">
        <v>638</v>
      </c>
      <c r="E313" s="1" t="s">
        <v>654</v>
      </c>
      <c r="F313" s="1"/>
      <c r="G313" s="1" t="s">
        <v>553</v>
      </c>
      <c r="H313" s="1">
        <v>723369719</v>
      </c>
      <c r="I313" s="1"/>
      <c r="J313" s="1"/>
      <c r="K313" s="1" t="s">
        <v>592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t="s">
        <v>970</v>
      </c>
      <c r="C314" s="1" t="s">
        <v>776</v>
      </c>
      <c r="D314" s="1" t="s">
        <v>636</v>
      </c>
      <c r="E314" s="1" t="s">
        <v>641</v>
      </c>
      <c r="F314" s="1"/>
      <c r="G314" s="1" t="s">
        <v>551</v>
      </c>
      <c r="H314" s="1">
        <v>777641183</v>
      </c>
      <c r="I314" s="1"/>
      <c r="J314" s="1"/>
      <c r="K314" s="1" t="s">
        <v>592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637</v>
      </c>
      <c r="D315" s="1" t="s">
        <v>636</v>
      </c>
      <c r="E315" s="1" t="s">
        <v>670</v>
      </c>
      <c r="F315" s="1"/>
      <c r="G315" s="1" t="s">
        <v>551</v>
      </c>
      <c r="H315" s="1">
        <v>770473800</v>
      </c>
      <c r="I315" s="1"/>
      <c r="J315" s="1"/>
      <c r="K315" s="1" t="s">
        <v>592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472</v>
      </c>
      <c r="B316" s="1" t="s">
        <v>473</v>
      </c>
      <c r="C316" s="1" t="s">
        <v>637</v>
      </c>
      <c r="D316" s="1" t="s">
        <v>636</v>
      </c>
      <c r="E316" s="1" t="s">
        <v>654</v>
      </c>
      <c r="F316" s="1"/>
      <c r="G316" s="1" t="s">
        <v>551</v>
      </c>
      <c r="H316" s="1">
        <v>770473800</v>
      </c>
      <c r="I316" s="1"/>
      <c r="J316" s="1"/>
      <c r="K316" s="1" t="s">
        <v>594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391</v>
      </c>
      <c r="B317" s="1" t="s">
        <v>392</v>
      </c>
      <c r="C317" s="1" t="s">
        <v>637</v>
      </c>
      <c r="D317" s="1" t="s">
        <v>638</v>
      </c>
      <c r="E317" s="1" t="s">
        <v>674</v>
      </c>
      <c r="F317" s="1"/>
      <c r="G317" s="1" t="s">
        <v>553</v>
      </c>
      <c r="H317" s="1"/>
      <c r="I317" s="1"/>
      <c r="J317" s="1"/>
      <c r="K317" s="1" t="s">
        <v>592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528</v>
      </c>
      <c r="B318" s="1" t="s">
        <v>529</v>
      </c>
      <c r="C318" s="1" t="s">
        <v>637</v>
      </c>
      <c r="D318" s="1" t="s">
        <v>638</v>
      </c>
      <c r="E318" s="1" t="s">
        <v>653</v>
      </c>
      <c r="F318" s="1"/>
      <c r="G318" s="1" t="s">
        <v>553</v>
      </c>
      <c r="H318" s="1">
        <v>772687687</v>
      </c>
      <c r="I318" s="1"/>
      <c r="J318" s="1"/>
      <c r="K318" s="1" t="s">
        <v>623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739</v>
      </c>
      <c r="C319" s="1" t="s">
        <v>740</v>
      </c>
      <c r="D319" s="1" t="s">
        <v>655</v>
      </c>
      <c r="E319" s="1" t="s">
        <v>655</v>
      </c>
      <c r="F319" s="1"/>
      <c r="G319" s="1" t="s">
        <v>554</v>
      </c>
      <c r="H319" s="1"/>
      <c r="I319" s="1"/>
      <c r="J319" s="1"/>
      <c r="K319" s="1" t="s">
        <v>592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637</v>
      </c>
      <c r="D320" s="1" t="s">
        <v>636</v>
      </c>
      <c r="E320" s="1" t="s">
        <v>641</v>
      </c>
      <c r="F320" s="1"/>
      <c r="G320" s="1" t="s">
        <v>551</v>
      </c>
      <c r="H320" s="1">
        <v>779461303</v>
      </c>
      <c r="I320" s="1"/>
      <c r="J320" s="1"/>
      <c r="K320" s="1" t="s">
        <v>592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370</v>
      </c>
      <c r="B321" s="1" t="s">
        <v>371</v>
      </c>
      <c r="C321" s="1" t="s">
        <v>637</v>
      </c>
      <c r="D321" s="1" t="s">
        <v>639</v>
      </c>
      <c r="E321" s="1" t="s">
        <v>661</v>
      </c>
      <c r="F321" s="1"/>
      <c r="G321" s="1" t="s">
        <v>554</v>
      </c>
      <c r="H321" s="1">
        <v>772127437</v>
      </c>
      <c r="I321" s="1"/>
      <c r="J321" s="1"/>
      <c r="K321" s="1" t="s">
        <v>592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847</v>
      </c>
      <c r="C322" s="1" t="s">
        <v>775</v>
      </c>
      <c r="D322" s="1" t="s">
        <v>638</v>
      </c>
      <c r="E322" s="1" t="s">
        <v>653</v>
      </c>
      <c r="F322" s="1"/>
      <c r="G322" s="1" t="s">
        <v>553</v>
      </c>
      <c r="H322" s="1">
        <v>773951106</v>
      </c>
      <c r="I322" s="1" t="s">
        <v>585</v>
      </c>
      <c r="J322" s="1"/>
      <c r="K322" s="1" t="s">
        <v>592</v>
      </c>
      <c r="L322" s="7" t="str">
        <f>CONCATENATE(A322, " - ", Table1[[#This Row],[Farm Name]])</f>
        <v>C00470 -  Farm 1</v>
      </c>
    </row>
    <row r="323" spans="1:12" x14ac:dyDescent="0.25">
      <c r="A323" s="1" t="s">
        <v>380</v>
      </c>
      <c r="B323" s="1" t="s">
        <v>847</v>
      </c>
      <c r="C323" s="1" t="s">
        <v>776</v>
      </c>
      <c r="D323" s="1" t="s">
        <v>638</v>
      </c>
      <c r="E323" s="1" t="s">
        <v>653</v>
      </c>
      <c r="F323" s="1"/>
      <c r="G323" s="1" t="s">
        <v>553</v>
      </c>
      <c r="H323" s="1">
        <v>773951106</v>
      </c>
      <c r="I323" s="1" t="s">
        <v>585</v>
      </c>
      <c r="J323" s="1"/>
      <c r="K323" s="1" t="s">
        <v>592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861</v>
      </c>
      <c r="C324" s="1" t="s">
        <v>743</v>
      </c>
      <c r="D324" s="1" t="s">
        <v>638</v>
      </c>
      <c r="E324" s="1" t="str">
        <f>_xlfn.XLOOKUP(A:A,[1]Puttalam!$B:$B,[1]Puttalam!$J:$J,"",0,-1)</f>
        <v/>
      </c>
      <c r="F324" s="1"/>
      <c r="G324" s="1" t="s">
        <v>553</v>
      </c>
      <c r="H324" s="1">
        <v>710481050</v>
      </c>
      <c r="I324" s="1"/>
      <c r="J324" s="1"/>
      <c r="K324" s="1" t="s">
        <v>592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861</v>
      </c>
      <c r="C325" s="1" t="s">
        <v>744</v>
      </c>
      <c r="D325" s="1" t="s">
        <v>638</v>
      </c>
      <c r="E325" s="1" t="str">
        <f>_xlfn.XLOOKUP(A:A,[1]Puttalam!$B:$B,[1]Puttalam!$J:$J,"",0,-1)</f>
        <v/>
      </c>
      <c r="F325" s="1"/>
      <c r="G325" s="1" t="s">
        <v>553</v>
      </c>
      <c r="H325" s="1">
        <v>710481050</v>
      </c>
      <c r="I325" s="1"/>
      <c r="J325" s="1"/>
      <c r="K325" s="1" t="s">
        <v>592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869</v>
      </c>
      <c r="C326" s="1" t="s">
        <v>787</v>
      </c>
      <c r="D326" s="1" t="s">
        <v>638</v>
      </c>
      <c r="E326" s="1" t="s">
        <v>654</v>
      </c>
      <c r="F326" s="1"/>
      <c r="G326" s="1" t="s">
        <v>553</v>
      </c>
      <c r="H326" s="1"/>
      <c r="I326" s="1">
        <v>777312569</v>
      </c>
      <c r="J326" s="1"/>
      <c r="K326" s="1" t="s">
        <v>592</v>
      </c>
      <c r="L326" s="7" t="str">
        <f>CONCATENATE(A326, " - ", Table1[[#This Row],[Farm Name]])</f>
        <v>C00504 -  DSP Farm</v>
      </c>
    </row>
    <row r="327" spans="1:12" x14ac:dyDescent="0.25">
      <c r="A327" s="1" t="s">
        <v>443</v>
      </c>
      <c r="B327" s="1" t="s">
        <v>444</v>
      </c>
      <c r="C327" s="1" t="s">
        <v>637</v>
      </c>
      <c r="D327" s="1" t="s">
        <v>655</v>
      </c>
      <c r="E327" s="1" t="s">
        <v>659</v>
      </c>
      <c r="F327" s="1"/>
      <c r="G327" s="1" t="s">
        <v>554</v>
      </c>
      <c r="H327" s="1">
        <v>777672693</v>
      </c>
      <c r="I327" s="1"/>
      <c r="J327" s="1"/>
      <c r="K327" s="1" t="s">
        <v>592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463</v>
      </c>
      <c r="B328" s="1" t="s">
        <v>464</v>
      </c>
      <c r="C328" s="1" t="s">
        <v>637</v>
      </c>
      <c r="D328" s="1" t="s">
        <v>655</v>
      </c>
      <c r="E328" s="1" t="s">
        <v>658</v>
      </c>
      <c r="F328" s="1"/>
      <c r="G328" s="1" t="s">
        <v>554</v>
      </c>
      <c r="H328" s="1">
        <v>765805570</v>
      </c>
      <c r="I328" s="1"/>
      <c r="J328" s="1"/>
      <c r="K328" s="1" t="s">
        <v>592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540</v>
      </c>
      <c r="B329" s="1" t="s">
        <v>464</v>
      </c>
      <c r="C329" s="1" t="s">
        <v>880</v>
      </c>
      <c r="D329" s="1" t="s">
        <v>655</v>
      </c>
      <c r="E329" s="1" t="s">
        <v>658</v>
      </c>
      <c r="F329" s="1"/>
      <c r="G329" s="1" t="s">
        <v>554</v>
      </c>
      <c r="H329" s="1">
        <v>765805570</v>
      </c>
      <c r="I329" s="1"/>
      <c r="J329" s="1"/>
      <c r="K329" s="1" t="s">
        <v>630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t="s">
        <v>967</v>
      </c>
      <c r="C330" s="1" t="s">
        <v>637</v>
      </c>
      <c r="D330" s="1" t="s">
        <v>636</v>
      </c>
      <c r="E330" s="1" t="s">
        <v>640</v>
      </c>
      <c r="F330" s="1"/>
      <c r="G330" s="1" t="s">
        <v>551</v>
      </c>
      <c r="H330" s="1">
        <v>778618512</v>
      </c>
      <c r="I330" s="1"/>
      <c r="J330" s="1"/>
      <c r="K330" s="1" t="s">
        <v>592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384</v>
      </c>
      <c r="B331" s="1" t="s">
        <v>385</v>
      </c>
      <c r="C331" s="1" t="s">
        <v>637</v>
      </c>
      <c r="D331" s="1" t="s">
        <v>638</v>
      </c>
      <c r="E331" s="1" t="s">
        <v>673</v>
      </c>
      <c r="F331" s="1"/>
      <c r="G331" s="1" t="s">
        <v>553</v>
      </c>
      <c r="H331" s="1">
        <v>777895812</v>
      </c>
      <c r="I331" s="1"/>
      <c r="J331" s="1"/>
      <c r="K331" s="1" t="s">
        <v>592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386</v>
      </c>
      <c r="B332" s="1" t="s">
        <v>385</v>
      </c>
      <c r="C332" s="1" t="s">
        <v>898</v>
      </c>
      <c r="D332" s="1" t="s">
        <v>638</v>
      </c>
      <c r="E332" s="1" t="s">
        <v>673</v>
      </c>
      <c r="F332" s="1"/>
      <c r="G332" s="1" t="s">
        <v>553</v>
      </c>
      <c r="H332" s="1">
        <v>779995812</v>
      </c>
      <c r="I332" s="1"/>
      <c r="J332" s="1"/>
      <c r="K332" s="1" t="s">
        <v>592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637</v>
      </c>
      <c r="D333" s="1" t="s">
        <v>636</v>
      </c>
      <c r="E333" s="1" t="s">
        <v>640</v>
      </c>
      <c r="F333" s="1"/>
      <c r="G333" s="1" t="s">
        <v>551</v>
      </c>
      <c r="H333" s="1">
        <v>777243002</v>
      </c>
      <c r="I333" s="1" t="s">
        <v>573</v>
      </c>
      <c r="J333" s="1"/>
      <c r="K333" s="1" t="s">
        <v>592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637</v>
      </c>
      <c r="D334" s="1" t="s">
        <v>655</v>
      </c>
      <c r="E334" s="1" t="s">
        <v>657</v>
      </c>
      <c r="F334" s="1"/>
      <c r="G334" s="1" t="s">
        <v>554</v>
      </c>
      <c r="H334" s="1">
        <v>776165798</v>
      </c>
      <c r="I334" s="1"/>
      <c r="J334" s="1"/>
      <c r="K334" s="1" t="s">
        <v>592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758</v>
      </c>
      <c r="C335" s="1" t="s">
        <v>759</v>
      </c>
      <c r="D335" s="1" t="s">
        <v>639</v>
      </c>
      <c r="E335" s="1" t="s">
        <v>644</v>
      </c>
      <c r="F335" s="1"/>
      <c r="G335" s="1" t="s">
        <v>554</v>
      </c>
      <c r="H335" s="1">
        <v>775744040</v>
      </c>
      <c r="I335" s="1"/>
      <c r="J335" s="1"/>
      <c r="K335" s="1" t="s">
        <v>592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758</v>
      </c>
      <c r="C336" s="1" t="s">
        <v>760</v>
      </c>
      <c r="D336" s="1" t="s">
        <v>638</v>
      </c>
      <c r="E336" s="1" t="s">
        <v>654</v>
      </c>
      <c r="F336" s="1"/>
      <c r="G336" s="1" t="s">
        <v>553</v>
      </c>
      <c r="H336" s="1">
        <v>775744040</v>
      </c>
      <c r="I336" s="1"/>
      <c r="J336" s="1"/>
      <c r="K336" s="1" t="s">
        <v>592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758</v>
      </c>
      <c r="C337" s="1" t="s">
        <v>887</v>
      </c>
      <c r="D337" s="1" t="s">
        <v>639</v>
      </c>
      <c r="E337" s="1" t="s">
        <v>644</v>
      </c>
      <c r="F337" s="1"/>
      <c r="G337" s="1" t="s">
        <v>554</v>
      </c>
      <c r="H337" s="1">
        <v>775744040</v>
      </c>
      <c r="I337" s="1"/>
      <c r="J337" s="1"/>
      <c r="K337" s="1" t="s">
        <v>592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637</v>
      </c>
      <c r="D338" s="1" t="s">
        <v>639</v>
      </c>
      <c r="E338" s="1" t="s">
        <v>950</v>
      </c>
      <c r="F338" s="1"/>
      <c r="G338" s="1" t="s">
        <v>554</v>
      </c>
      <c r="H338" s="1">
        <v>763227969</v>
      </c>
      <c r="I338" s="1"/>
      <c r="J338" s="1"/>
      <c r="K338" s="1" t="s">
        <v>592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637</v>
      </c>
      <c r="D339" s="1" t="s">
        <v>639</v>
      </c>
      <c r="E339" s="1" t="s">
        <v>960</v>
      </c>
      <c r="F339" s="1"/>
      <c r="G339" s="1" t="s">
        <v>554</v>
      </c>
      <c r="H339" s="1">
        <v>770767707</v>
      </c>
      <c r="I339" s="1" t="s">
        <v>568</v>
      </c>
      <c r="J339" s="1"/>
      <c r="K339" s="1" t="s">
        <v>592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637</v>
      </c>
      <c r="D340" s="1" t="s">
        <v>638</v>
      </c>
      <c r="E340" s="1" t="s">
        <v>653</v>
      </c>
      <c r="F340" s="1"/>
      <c r="G340" s="1" t="s">
        <v>553</v>
      </c>
      <c r="H340" s="1">
        <v>774538886</v>
      </c>
      <c r="I340" s="1"/>
      <c r="J340" s="1"/>
      <c r="K340" s="1" t="s">
        <v>592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848</v>
      </c>
      <c r="C341" s="1" t="s">
        <v>849</v>
      </c>
      <c r="D341" s="1" t="s">
        <v>638</v>
      </c>
      <c r="E341" s="1" t="s">
        <v>653</v>
      </c>
      <c r="F341" s="1"/>
      <c r="G341" s="1" t="s">
        <v>553</v>
      </c>
      <c r="H341" s="1">
        <v>774538886</v>
      </c>
      <c r="I341" s="1"/>
      <c r="J341" s="1"/>
      <c r="K341" s="1" t="s">
        <v>592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848</v>
      </c>
      <c r="C342" s="1" t="s">
        <v>850</v>
      </c>
      <c r="D342" s="1" t="s">
        <v>638</v>
      </c>
      <c r="E342" s="1" t="s">
        <v>653</v>
      </c>
      <c r="F342" s="1"/>
      <c r="G342" s="1" t="s">
        <v>553</v>
      </c>
      <c r="H342" s="1">
        <v>774538886</v>
      </c>
      <c r="I342" s="1"/>
      <c r="J342" s="1"/>
      <c r="K342" s="1" t="s">
        <v>592</v>
      </c>
      <c r="L342" s="7" t="str">
        <f>CONCATENATE(A342, " - ", Table1[[#This Row],[Farm Name]])</f>
        <v>C00477 -  Vasu Farm</v>
      </c>
    </row>
    <row r="343" spans="1:12" x14ac:dyDescent="0.25">
      <c r="A343" s="1" t="s">
        <v>502</v>
      </c>
      <c r="B343" s="1" t="s">
        <v>503</v>
      </c>
      <c r="C343" s="1" t="s">
        <v>637</v>
      </c>
      <c r="D343" s="1" t="s">
        <v>636</v>
      </c>
      <c r="E343" s="1" t="s">
        <v>666</v>
      </c>
      <c r="F343" s="1"/>
      <c r="G343" s="1" t="s">
        <v>551</v>
      </c>
      <c r="H343" s="1">
        <v>763903787</v>
      </c>
      <c r="I343" s="1"/>
      <c r="J343" s="1"/>
      <c r="K343" s="1" t="s">
        <v>609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637</v>
      </c>
      <c r="D344" s="1" t="s">
        <v>636</v>
      </c>
      <c r="E344" s="1" t="s">
        <v>663</v>
      </c>
      <c r="F344" s="1"/>
      <c r="G344" s="1" t="s">
        <v>551</v>
      </c>
      <c r="H344" s="1">
        <v>773359803</v>
      </c>
      <c r="I344" s="1"/>
      <c r="J344" s="1"/>
      <c r="K344" s="1" t="s">
        <v>592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434</v>
      </c>
      <c r="B345" s="1" t="s">
        <v>435</v>
      </c>
      <c r="C345" s="1" t="s">
        <v>637</v>
      </c>
      <c r="D345" s="1" t="s">
        <v>638</v>
      </c>
      <c r="E345" s="1" t="s">
        <v>654</v>
      </c>
      <c r="F345" s="1"/>
      <c r="G345" s="1" t="s">
        <v>553</v>
      </c>
      <c r="H345" s="1">
        <v>777789955</v>
      </c>
      <c r="I345" s="1"/>
      <c r="J345" s="1"/>
      <c r="K345" s="1" t="s">
        <v>592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637</v>
      </c>
      <c r="D346" s="1" t="s">
        <v>636</v>
      </c>
      <c r="E346" s="1" t="s">
        <v>643</v>
      </c>
      <c r="F346" s="1"/>
      <c r="G346" s="1" t="s">
        <v>551</v>
      </c>
      <c r="H346" s="1">
        <v>775269161</v>
      </c>
      <c r="I346" s="1"/>
      <c r="J346" s="1"/>
      <c r="K346" s="1" t="s">
        <v>592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637</v>
      </c>
      <c r="D347" s="1" t="s">
        <v>636</v>
      </c>
      <c r="E347" s="1" t="s">
        <v>643</v>
      </c>
      <c r="F347" s="1"/>
      <c r="G347" s="1" t="s">
        <v>551</v>
      </c>
      <c r="H347" s="1">
        <v>772391532</v>
      </c>
      <c r="I347" s="1"/>
      <c r="J347" s="1"/>
      <c r="K347" s="1" t="s">
        <v>592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797</v>
      </c>
      <c r="C348" s="1" t="s">
        <v>798</v>
      </c>
      <c r="D348" s="1" t="s">
        <v>638</v>
      </c>
      <c r="E348" s="1" t="s">
        <v>951</v>
      </c>
      <c r="F348" s="1"/>
      <c r="G348" s="1" t="s">
        <v>553</v>
      </c>
      <c r="H348" s="1"/>
      <c r="I348" s="1">
        <v>312255544</v>
      </c>
      <c r="J348" s="1"/>
      <c r="K348" s="1" t="s">
        <v>592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517</v>
      </c>
      <c r="B349" s="1" t="s">
        <v>518</v>
      </c>
      <c r="C349" s="1" t="s">
        <v>637</v>
      </c>
      <c r="D349" s="1" t="s">
        <v>639</v>
      </c>
      <c r="E349" s="1" t="s">
        <v>644</v>
      </c>
      <c r="F349" s="1"/>
      <c r="G349" s="1" t="s">
        <v>554</v>
      </c>
      <c r="H349" s="1">
        <v>779320451</v>
      </c>
      <c r="I349" s="1"/>
      <c r="J349" s="1"/>
      <c r="K349" s="1" t="s">
        <v>617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665</v>
      </c>
      <c r="D350" s="1" t="s">
        <v>636</v>
      </c>
      <c r="E350" s="1" t="s">
        <v>665</v>
      </c>
      <c r="F350" s="1"/>
      <c r="G350" s="1" t="s">
        <v>551</v>
      </c>
      <c r="H350" s="1">
        <v>776372110</v>
      </c>
      <c r="I350" s="1"/>
      <c r="J350" s="1"/>
      <c r="K350" s="1" t="s">
        <v>592</v>
      </c>
      <c r="L350" s="7" t="str">
        <f>CONCATENATE(A350, " - ", Table1[[#This Row],[Farm Name]])</f>
        <v>C00608 - Muthupanthiya</v>
      </c>
    </row>
    <row r="351" spans="1:12" x14ac:dyDescent="0.25">
      <c r="A351" s="1" t="s">
        <v>162</v>
      </c>
      <c r="B351" s="1" t="s">
        <v>163</v>
      </c>
      <c r="C351" s="1" t="s">
        <v>637</v>
      </c>
      <c r="D351" s="1" t="s">
        <v>636</v>
      </c>
      <c r="E351" s="1">
        <v>0</v>
      </c>
      <c r="F351" s="1"/>
      <c r="G351" s="1" t="s">
        <v>551</v>
      </c>
      <c r="H351" s="1">
        <v>775328363</v>
      </c>
      <c r="I351" s="1"/>
      <c r="J351" s="1"/>
      <c r="K351" s="1" t="s">
        <v>592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778</v>
      </c>
      <c r="C352" s="1" t="s">
        <v>779</v>
      </c>
      <c r="D352" s="1" t="s">
        <v>636</v>
      </c>
      <c r="E352" s="1" t="s">
        <v>672</v>
      </c>
      <c r="F352" s="1"/>
      <c r="G352" s="1" t="s">
        <v>551</v>
      </c>
      <c r="H352" s="1">
        <v>710834075</v>
      </c>
      <c r="I352" s="1"/>
      <c r="J352" s="1"/>
      <c r="K352" s="1" t="s">
        <v>592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778</v>
      </c>
      <c r="C353" s="1" t="s">
        <v>780</v>
      </c>
      <c r="D353" s="1" t="s">
        <v>636</v>
      </c>
      <c r="E353" s="1" t="s">
        <v>667</v>
      </c>
      <c r="F353" s="1"/>
      <c r="G353" s="1" t="s">
        <v>551</v>
      </c>
      <c r="H353" s="1">
        <v>775328363</v>
      </c>
      <c r="I353" s="1"/>
      <c r="J353" s="1"/>
      <c r="K353" s="1" t="s">
        <v>592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853</v>
      </c>
      <c r="C354" s="1" t="s">
        <v>854</v>
      </c>
      <c r="D354" s="1" t="s">
        <v>638</v>
      </c>
      <c r="E354" s="1" t="s">
        <v>654</v>
      </c>
      <c r="F354" s="1"/>
      <c r="G354" s="1" t="s">
        <v>553</v>
      </c>
      <c r="H354" s="1">
        <v>714806784</v>
      </c>
      <c r="I354" s="1"/>
      <c r="J354" s="1"/>
      <c r="K354" s="1" t="s">
        <v>592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637</v>
      </c>
      <c r="D355" s="1" t="s">
        <v>636</v>
      </c>
      <c r="E355" s="1" t="s">
        <v>668</v>
      </c>
      <c r="F355" s="1"/>
      <c r="G355" s="1" t="s">
        <v>551</v>
      </c>
      <c r="H355" s="1">
        <v>715394422</v>
      </c>
      <c r="I355" s="1"/>
      <c r="J355" s="1">
        <v>717074373</v>
      </c>
      <c r="K355" s="1" t="s">
        <v>592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637</v>
      </c>
      <c r="D356" s="1" t="s">
        <v>636</v>
      </c>
      <c r="E356" s="1" t="s">
        <v>640</v>
      </c>
      <c r="F356" s="1"/>
      <c r="G356" s="1" t="s">
        <v>551</v>
      </c>
      <c r="H356" s="1">
        <v>765906859</v>
      </c>
      <c r="I356" s="1"/>
      <c r="J356" s="1"/>
      <c r="K356" s="1" t="s">
        <v>592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767</v>
      </c>
      <c r="C357" s="1" t="s">
        <v>768</v>
      </c>
      <c r="D357" s="1" t="s">
        <v>636</v>
      </c>
      <c r="E357" s="1" t="s">
        <v>672</v>
      </c>
      <c r="F357" s="1"/>
      <c r="G357" s="1" t="s">
        <v>551</v>
      </c>
      <c r="H357" s="1">
        <v>769032826</v>
      </c>
      <c r="I357" s="1"/>
      <c r="J357" s="1"/>
      <c r="K357" s="1" t="s">
        <v>592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767</v>
      </c>
      <c r="C358" s="1" t="s">
        <v>676</v>
      </c>
      <c r="D358" s="1" t="s">
        <v>636</v>
      </c>
      <c r="E358" s="1" t="s">
        <v>676</v>
      </c>
      <c r="F358" s="1"/>
      <c r="G358" s="1" t="s">
        <v>551</v>
      </c>
      <c r="H358" s="1">
        <v>769032826</v>
      </c>
      <c r="I358" s="1" t="s">
        <v>571</v>
      </c>
      <c r="J358" s="1"/>
      <c r="K358" s="1" t="s">
        <v>592</v>
      </c>
      <c r="L358" s="7" t="str">
        <f>CONCATENATE(A358, " - ", Table1[[#This Row],[Farm Name]])</f>
        <v>C00273 - Naguleliya</v>
      </c>
    </row>
    <row r="359" spans="1:12" x14ac:dyDescent="0.25">
      <c r="A359" s="1" t="s">
        <v>466</v>
      </c>
      <c r="B359" s="1" t="s">
        <v>467</v>
      </c>
      <c r="C359" s="1" t="s">
        <v>637</v>
      </c>
      <c r="D359" s="1" t="s">
        <v>636</v>
      </c>
      <c r="E359" s="1" t="s">
        <v>665</v>
      </c>
      <c r="F359" s="1"/>
      <c r="G359" s="1" t="s">
        <v>551</v>
      </c>
      <c r="H359" s="1">
        <v>779255010</v>
      </c>
      <c r="I359" s="1"/>
      <c r="J359" s="1"/>
      <c r="K359" s="1" t="s">
        <v>592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454</v>
      </c>
      <c r="B360" s="1" t="s">
        <v>455</v>
      </c>
      <c r="C360" s="1" t="s">
        <v>637</v>
      </c>
      <c r="D360" s="1" t="s">
        <v>638</v>
      </c>
      <c r="E360" s="1" t="s">
        <v>654</v>
      </c>
      <c r="F360" s="1"/>
      <c r="G360" s="1" t="s">
        <v>553</v>
      </c>
      <c r="H360" s="1">
        <v>773274158</v>
      </c>
      <c r="I360" s="1"/>
      <c r="J360" s="1"/>
      <c r="K360" s="1" t="s">
        <v>592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637</v>
      </c>
      <c r="D361" s="1" t="s">
        <v>636</v>
      </c>
      <c r="E361" s="1" t="s">
        <v>676</v>
      </c>
      <c r="F361" s="1"/>
      <c r="G361" s="1" t="s">
        <v>551</v>
      </c>
      <c r="H361" s="1">
        <v>775816297</v>
      </c>
      <c r="I361" s="1"/>
      <c r="J361" s="1"/>
      <c r="K361" s="1" t="s">
        <v>592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637</v>
      </c>
      <c r="D362" s="1" t="s">
        <v>636</v>
      </c>
      <c r="E362" s="1" t="s">
        <v>667</v>
      </c>
      <c r="F362" s="1"/>
      <c r="G362" s="1" t="s">
        <v>551</v>
      </c>
      <c r="H362" s="1">
        <v>770628215</v>
      </c>
      <c r="I362" s="1"/>
      <c r="J362" s="1"/>
      <c r="K362" s="1" t="s">
        <v>592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398</v>
      </c>
      <c r="B363" s="1" t="s">
        <v>399</v>
      </c>
      <c r="C363" s="1" t="s">
        <v>637</v>
      </c>
      <c r="D363" s="1" t="s">
        <v>639</v>
      </c>
      <c r="E363" s="1" t="s">
        <v>661</v>
      </c>
      <c r="F363" s="1"/>
      <c r="G363" s="1" t="s">
        <v>554</v>
      </c>
      <c r="H363" s="1">
        <v>774434135</v>
      </c>
      <c r="I363" s="1"/>
      <c r="J363" s="1"/>
      <c r="K363" s="1" t="s">
        <v>592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470</v>
      </c>
      <c r="B364" s="1" t="s">
        <v>471</v>
      </c>
      <c r="C364" s="1" t="s">
        <v>637</v>
      </c>
      <c r="D364" s="1" t="s">
        <v>639</v>
      </c>
      <c r="E364" s="1" t="s">
        <v>661</v>
      </c>
      <c r="F364" s="1"/>
      <c r="G364" s="1" t="s">
        <v>554</v>
      </c>
      <c r="H364" s="1">
        <v>774434135</v>
      </c>
      <c r="I364" s="1"/>
      <c r="J364" s="1"/>
      <c r="K364" s="1" t="s">
        <v>592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943</v>
      </c>
      <c r="B365" s="1" t="s">
        <v>944</v>
      </c>
      <c r="C365" s="1" t="s">
        <v>947</v>
      </c>
      <c r="D365" s="1" t="s">
        <v>636</v>
      </c>
      <c r="E365" s="1" t="s">
        <v>646</v>
      </c>
      <c r="F365" s="1"/>
      <c r="G365" s="1" t="s">
        <v>551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864</v>
      </c>
      <c r="C366" s="1" t="s">
        <v>865</v>
      </c>
      <c r="D366" s="1" t="s">
        <v>638</v>
      </c>
      <c r="E366" s="1" t="s">
        <v>674</v>
      </c>
      <c r="F366" s="1"/>
      <c r="G366" s="1" t="s">
        <v>553</v>
      </c>
      <c r="H366" s="1">
        <v>777483456</v>
      </c>
      <c r="I366" s="1"/>
      <c r="J366" s="1"/>
      <c r="K366" s="1" t="s">
        <v>592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864</v>
      </c>
      <c r="C367" s="1" t="s">
        <v>882</v>
      </c>
      <c r="D367" s="1" t="s">
        <v>638</v>
      </c>
      <c r="E367" s="1" t="s">
        <v>674</v>
      </c>
      <c r="F367" s="1"/>
      <c r="G367" s="1" t="s">
        <v>553</v>
      </c>
      <c r="H367" s="1">
        <v>777483456</v>
      </c>
      <c r="I367" s="1"/>
      <c r="J367" s="1"/>
      <c r="K367" s="1" t="s">
        <v>592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379</v>
      </c>
      <c r="B368" s="1" t="s">
        <v>896</v>
      </c>
      <c r="C368" s="1" t="s">
        <v>897</v>
      </c>
      <c r="D368" s="1" t="s">
        <v>638</v>
      </c>
      <c r="E368" s="1" t="s">
        <v>954</v>
      </c>
      <c r="F368" s="1"/>
      <c r="G368" s="1" t="s">
        <v>553</v>
      </c>
      <c r="H368" s="1">
        <v>777483456</v>
      </c>
      <c r="I368" s="1"/>
      <c r="J368" s="1"/>
      <c r="K368" s="1" t="s">
        <v>592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726</v>
      </c>
      <c r="C369" s="1" t="s">
        <v>727</v>
      </c>
      <c r="D369" s="1" t="s">
        <v>655</v>
      </c>
      <c r="E369" s="1" t="s">
        <v>658</v>
      </c>
      <c r="F369" s="1"/>
      <c r="G369" s="1" t="s">
        <v>554</v>
      </c>
      <c r="H369" s="1">
        <v>775380747</v>
      </c>
      <c r="I369" s="1"/>
      <c r="J369" s="1"/>
      <c r="K369" s="1" t="s">
        <v>592</v>
      </c>
      <c r="L369" s="7" t="str">
        <f>CONCATENATE(A369, " - ", Table1[[#This Row],[Farm Name]])</f>
        <v>C00100 -  Farm A</v>
      </c>
    </row>
    <row r="370" spans="1:12" x14ac:dyDescent="0.25">
      <c r="A370" s="1" t="s">
        <v>401</v>
      </c>
      <c r="B370" s="1" t="s">
        <v>726</v>
      </c>
      <c r="C370" s="1" t="s">
        <v>878</v>
      </c>
      <c r="D370" s="1" t="s">
        <v>655</v>
      </c>
      <c r="E370" s="1" t="s">
        <v>658</v>
      </c>
      <c r="F370" s="1"/>
      <c r="G370" s="1" t="s">
        <v>554</v>
      </c>
      <c r="H370" s="1">
        <v>775380747</v>
      </c>
      <c r="I370" s="1"/>
      <c r="J370" s="1"/>
      <c r="K370" s="1" t="s">
        <v>592</v>
      </c>
      <c r="L370" s="7" t="str">
        <f>CONCATENATE(A370, " - ", Table1[[#This Row],[Farm Name]])</f>
        <v>C00664 -  Farm B</v>
      </c>
    </row>
    <row r="371" spans="1:12" x14ac:dyDescent="0.25">
      <c r="A371" s="1" t="s">
        <v>462</v>
      </c>
      <c r="B371" s="1" t="s">
        <v>726</v>
      </c>
      <c r="C371" s="1" t="s">
        <v>929</v>
      </c>
      <c r="D371" s="1" t="s">
        <v>655</v>
      </c>
      <c r="E371" s="1" t="s">
        <v>658</v>
      </c>
      <c r="F371" s="1"/>
      <c r="G371" s="1" t="s">
        <v>554</v>
      </c>
      <c r="H371" s="1">
        <v>775380747</v>
      </c>
      <c r="I371" s="1"/>
      <c r="J371" s="1"/>
      <c r="K371" s="1" t="s">
        <v>592</v>
      </c>
      <c r="L371" s="7" t="str">
        <f>CONCATENATE(A371, " - ", Table1[[#This Row],[Farm Name]])</f>
        <v>C00779 -  Joshep Farm</v>
      </c>
    </row>
    <row r="372" spans="1:12" x14ac:dyDescent="0.25">
      <c r="A372" s="1" t="s">
        <v>500</v>
      </c>
      <c r="B372" s="1" t="s">
        <v>501</v>
      </c>
      <c r="C372" s="1" t="s">
        <v>637</v>
      </c>
      <c r="D372" s="1" t="s">
        <v>636</v>
      </c>
      <c r="E372" s="1" t="s">
        <v>676</v>
      </c>
      <c r="F372" s="1"/>
      <c r="G372" s="1" t="s">
        <v>551</v>
      </c>
      <c r="H372" s="1">
        <v>720750839</v>
      </c>
      <c r="I372" s="1"/>
      <c r="J372" s="1"/>
      <c r="K372" s="1" t="s">
        <v>608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637</v>
      </c>
      <c r="D373" s="1" t="s">
        <v>636</v>
      </c>
      <c r="E373" s="1" t="s">
        <v>667</v>
      </c>
      <c r="F373" s="1"/>
      <c r="G373" s="1" t="s">
        <v>551</v>
      </c>
      <c r="H373" s="1">
        <v>778125330</v>
      </c>
      <c r="I373" s="1"/>
      <c r="J373" s="1"/>
      <c r="K373" s="1" t="s">
        <v>592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637</v>
      </c>
      <c r="D374" s="1" t="s">
        <v>636</v>
      </c>
      <c r="E374" s="1" t="s">
        <v>667</v>
      </c>
      <c r="F374" s="1"/>
      <c r="G374" s="1" t="s">
        <v>551</v>
      </c>
      <c r="H374" s="1">
        <v>777044752</v>
      </c>
      <c r="I374" s="1"/>
      <c r="J374" s="1"/>
      <c r="K374" s="1" t="s">
        <v>592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637</v>
      </c>
      <c r="D375" s="1" t="s">
        <v>636</v>
      </c>
      <c r="E375" s="1" t="s">
        <v>665</v>
      </c>
      <c r="F375" s="1"/>
      <c r="G375" s="1" t="s">
        <v>551</v>
      </c>
      <c r="H375" s="1">
        <v>775802072</v>
      </c>
      <c r="I375" s="1"/>
      <c r="J375" s="1" t="s">
        <v>572</v>
      </c>
      <c r="K375" s="1" t="s">
        <v>592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945</v>
      </c>
      <c r="B376" s="1" t="s">
        <v>946</v>
      </c>
      <c r="C376" s="1" t="s">
        <v>948</v>
      </c>
      <c r="D376" s="1" t="s">
        <v>636</v>
      </c>
      <c r="E376" s="1" t="s">
        <v>641</v>
      </c>
      <c r="F376" s="1"/>
      <c r="G376" s="1" t="s">
        <v>551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747</v>
      </c>
      <c r="C377" s="1" t="s">
        <v>748</v>
      </c>
      <c r="D377" s="1" t="s">
        <v>639</v>
      </c>
      <c r="E377" s="1">
        <v>0</v>
      </c>
      <c r="F377" s="1"/>
      <c r="G377" s="1" t="s">
        <v>554</v>
      </c>
      <c r="H377" s="1">
        <v>772824666</v>
      </c>
      <c r="I377" s="1"/>
      <c r="J377" s="1"/>
      <c r="K377" s="1" t="s">
        <v>592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761</v>
      </c>
      <c r="C378" s="1" t="s">
        <v>782</v>
      </c>
      <c r="D378" s="1" t="s">
        <v>636</v>
      </c>
      <c r="E378" s="4" t="s">
        <v>641</v>
      </c>
      <c r="F378" s="1"/>
      <c r="G378" s="1" t="s">
        <v>551</v>
      </c>
      <c r="H378" s="1">
        <v>776043262</v>
      </c>
      <c r="I378" s="1"/>
      <c r="J378" s="1"/>
      <c r="K378" s="1" t="s">
        <v>592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637</v>
      </c>
      <c r="D379" s="1" t="s">
        <v>636</v>
      </c>
      <c r="E379" s="1" t="s">
        <v>667</v>
      </c>
      <c r="F379" s="1"/>
      <c r="G379" s="1" t="s">
        <v>551</v>
      </c>
      <c r="H379" s="1">
        <v>763472988</v>
      </c>
      <c r="I379" s="1"/>
      <c r="J379" s="1"/>
      <c r="K379" s="1" t="s">
        <v>592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851</v>
      </c>
      <c r="C380" s="1" t="s">
        <v>852</v>
      </c>
      <c r="D380" s="1" t="s">
        <v>638</v>
      </c>
      <c r="E380" s="4" t="s">
        <v>653</v>
      </c>
      <c r="F380" s="1"/>
      <c r="G380" s="1" t="s">
        <v>553</v>
      </c>
      <c r="H380" s="1">
        <v>777358170</v>
      </c>
      <c r="I380" s="1"/>
      <c r="J380" s="1"/>
      <c r="K380" s="1" t="s">
        <v>592</v>
      </c>
      <c r="L380" s="7" t="str">
        <f>CONCATENATE(A380, " - ", Table1[[#This Row],[Farm Name]])</f>
        <v>C00478 -  Y.M.Farm</v>
      </c>
    </row>
    <row r="381" spans="1:12" x14ac:dyDescent="0.25">
      <c r="A381" s="1" t="s">
        <v>983</v>
      </c>
      <c r="B381" s="1" t="s">
        <v>984</v>
      </c>
      <c r="C381" s="1"/>
      <c r="D381" s="1" t="s">
        <v>636</v>
      </c>
      <c r="E381" t="s">
        <v>663</v>
      </c>
      <c r="F381" s="1"/>
      <c r="G381" s="1" t="s">
        <v>551</v>
      </c>
      <c r="H381" s="1"/>
      <c r="I381" s="1"/>
      <c r="J381" s="1"/>
      <c r="K381" s="1"/>
      <c r="L381" s="7" t="str">
        <f>CONCATENATE(A381, " - ", Table1[[#This Row],[Farm Name]])</f>
        <v xml:space="preserve">C00702 - </v>
      </c>
    </row>
    <row r="382" spans="1:12" x14ac:dyDescent="0.25">
      <c r="A382" s="1" t="s">
        <v>985</v>
      </c>
      <c r="B382" s="1" t="s">
        <v>986</v>
      </c>
      <c r="C382" s="1"/>
      <c r="D382" s="1" t="s">
        <v>655</v>
      </c>
      <c r="E382" t="s">
        <v>656</v>
      </c>
      <c r="F382" s="1"/>
      <c r="G382" s="1" t="s">
        <v>554</v>
      </c>
      <c r="H382" s="1"/>
      <c r="I382" s="1"/>
      <c r="J382" s="1"/>
      <c r="K382" s="1"/>
      <c r="L382" s="7" t="str">
        <f>CONCATENATE(A382, " - ", Table1[[#This Row],[Farm Name]])</f>
        <v xml:space="preserve">C00106 - </v>
      </c>
    </row>
    <row r="383" spans="1:12" x14ac:dyDescent="0.25">
      <c r="A383" s="1" t="s">
        <v>987</v>
      </c>
      <c r="B383" s="1" t="s">
        <v>988</v>
      </c>
      <c r="C383" s="1"/>
      <c r="D383" s="1" t="s">
        <v>655</v>
      </c>
      <c r="E383" t="s">
        <v>991</v>
      </c>
      <c r="F383" s="1"/>
      <c r="G383" s="1" t="s">
        <v>554</v>
      </c>
      <c r="H383" s="1"/>
      <c r="I383" s="1"/>
      <c r="J383" s="1"/>
      <c r="K383" s="1"/>
      <c r="L383" s="7" t="str">
        <f>CONCATENATE(A383, " - ", Table1[[#This Row],[Farm Name]])</f>
        <v xml:space="preserve">C00614 - </v>
      </c>
    </row>
    <row r="384" spans="1:12" x14ac:dyDescent="0.25">
      <c r="A384" s="1" t="s">
        <v>989</v>
      </c>
      <c r="B384" s="1" t="s">
        <v>990</v>
      </c>
      <c r="C384" s="1"/>
      <c r="D384" s="1" t="s">
        <v>638</v>
      </c>
      <c r="E384" t="s">
        <v>654</v>
      </c>
      <c r="F384" s="1"/>
      <c r="G384" s="1" t="s">
        <v>553</v>
      </c>
      <c r="H384" s="1"/>
      <c r="I384" s="1"/>
      <c r="J384" s="1"/>
      <c r="K384" s="1"/>
      <c r="L384" s="7" t="str">
        <f>CONCATENATE(A384, " - ", Table1[[#This Row],[Farm Name]])</f>
        <v xml:space="preserve">C00845 - </v>
      </c>
    </row>
    <row r="385" spans="1:12" x14ac:dyDescent="0.25">
      <c r="A385" s="1" t="s">
        <v>337</v>
      </c>
      <c r="B385" s="1" t="s">
        <v>992</v>
      </c>
      <c r="C385" s="1"/>
      <c r="D385" s="1" t="s">
        <v>639</v>
      </c>
      <c r="F385" s="1"/>
      <c r="G385" s="1" t="s">
        <v>554</v>
      </c>
      <c r="H385" s="1"/>
      <c r="I385" s="1"/>
      <c r="J385" s="1"/>
      <c r="K385" s="1"/>
      <c r="L385" s="7" t="str">
        <f>CONCATENATE(A385, " - ", Table1[[#This Row],[Farm Name]])</f>
        <v xml:space="preserve">C00559 - </v>
      </c>
    </row>
    <row r="386" spans="1:12" x14ac:dyDescent="0.25">
      <c r="A386" s="1" t="s">
        <v>993</v>
      </c>
      <c r="B386" s="7" t="s">
        <v>967</v>
      </c>
      <c r="C386" s="1" t="s">
        <v>994</v>
      </c>
      <c r="D386" s="1" t="s">
        <v>636</v>
      </c>
      <c r="E386" s="1" t="s">
        <v>668</v>
      </c>
      <c r="F386" s="1"/>
      <c r="G386" s="1" t="s">
        <v>551</v>
      </c>
      <c r="H386" s="1"/>
      <c r="I386" s="1"/>
      <c r="J386" s="1"/>
      <c r="K386" s="1"/>
      <c r="L386" s="7" t="str">
        <f>CONCATENATE(A386, " - ", Table1[[#This Row],[Farm Name]])</f>
        <v>C00557 - Wattakkaliya Farm</v>
      </c>
    </row>
    <row r="387" spans="1:12" x14ac:dyDescent="0.25">
      <c r="A387" s="1" t="s">
        <v>995</v>
      </c>
      <c r="B387" s="7" t="s">
        <v>996</v>
      </c>
      <c r="C387" s="1"/>
      <c r="D387" s="1" t="s">
        <v>636</v>
      </c>
      <c r="E387" t="s">
        <v>669</v>
      </c>
      <c r="F387" s="1"/>
      <c r="G387" s="1" t="s">
        <v>551</v>
      </c>
      <c r="H387" s="1"/>
      <c r="I387" s="1"/>
      <c r="J387" s="1"/>
      <c r="K387" s="1"/>
      <c r="L387" s="7" t="str">
        <f>CONCATENATE(A387, " - ", Table1[[#This Row],[Farm Name]])</f>
        <v xml:space="preserve">C00860 - </v>
      </c>
    </row>
    <row r="388" spans="1:12" x14ac:dyDescent="0.25">
      <c r="A388" s="1" t="s">
        <v>998</v>
      </c>
      <c r="B388" s="7" t="s">
        <v>997</v>
      </c>
      <c r="C388" s="1"/>
      <c r="D388" s="1" t="s">
        <v>639</v>
      </c>
      <c r="E388" s="1" t="s">
        <v>644</v>
      </c>
      <c r="F388" s="1"/>
      <c r="G388" s="1" t="s">
        <v>554</v>
      </c>
      <c r="H388" s="1"/>
      <c r="I388" s="1"/>
      <c r="J388" s="1"/>
      <c r="K388" s="1"/>
      <c r="L388" s="7" t="str">
        <f>CONCATENATE(A388, " - ", Table1[[#This Row],[Farm Name]])</f>
        <v xml:space="preserve">C00169 - </v>
      </c>
    </row>
    <row r="389" spans="1:12" x14ac:dyDescent="0.25">
      <c r="A389" s="1" t="s">
        <v>999</v>
      </c>
      <c r="B389" s="7" t="s">
        <v>1000</v>
      </c>
      <c r="C389" s="1"/>
      <c r="D389" s="1" t="s">
        <v>636</v>
      </c>
      <c r="E389" s="1" t="s">
        <v>640</v>
      </c>
      <c r="F389" s="1"/>
      <c r="G389" s="1" t="s">
        <v>551</v>
      </c>
      <c r="H389" s="1"/>
      <c r="I389" s="1"/>
      <c r="J389" s="1"/>
      <c r="K389" s="1"/>
      <c r="L389" s="7" t="str">
        <f>CONCATENATE(A389, " - ", Table1[[#This Row],[Farm Name]])</f>
        <v xml:space="preserve">C00635 - </v>
      </c>
    </row>
    <row r="390" spans="1:12" x14ac:dyDescent="0.25">
      <c r="A390" s="1" t="s">
        <v>1001</v>
      </c>
      <c r="B390" s="7" t="s">
        <v>1002</v>
      </c>
      <c r="C390" s="1"/>
      <c r="D390" s="1" t="s">
        <v>638</v>
      </c>
      <c r="E390" s="1"/>
      <c r="F390" s="1"/>
      <c r="G390" s="1" t="s">
        <v>553</v>
      </c>
      <c r="H390" s="1"/>
      <c r="I390" s="1"/>
      <c r="J390" s="1"/>
      <c r="K390" s="1"/>
      <c r="L390" s="7" t="str">
        <f>CONCATENATE(A390, " - ", Table1[[#This Row],[Farm Name]])</f>
        <v xml:space="preserve">C00430 - </v>
      </c>
    </row>
    <row r="391" spans="1:12" x14ac:dyDescent="0.25">
      <c r="A391" s="1" t="s">
        <v>301</v>
      </c>
      <c r="B391" s="1" t="s">
        <v>1003</v>
      </c>
      <c r="C391" s="1"/>
      <c r="D391" s="1" t="s">
        <v>638</v>
      </c>
      <c r="E391" s="1" t="s">
        <v>654</v>
      </c>
      <c r="F391" s="1"/>
      <c r="G391" s="1" t="s">
        <v>553</v>
      </c>
      <c r="H391" s="1"/>
      <c r="I391" s="1"/>
      <c r="J391" s="1"/>
      <c r="K391" s="1"/>
      <c r="L391" s="7" t="str">
        <f>CONCATENATE(A391, " - ", Table1[[#This Row],[Farm Name]])</f>
        <v xml:space="preserve">C00485 - </v>
      </c>
    </row>
    <row r="392" spans="1:12" x14ac:dyDescent="0.25">
      <c r="A392" s="1" t="s">
        <v>1004</v>
      </c>
      <c r="B392" s="1" t="s">
        <v>1005</v>
      </c>
      <c r="C392" s="1"/>
      <c r="D392" s="1" t="s">
        <v>638</v>
      </c>
      <c r="E392" s="1" t="s">
        <v>654</v>
      </c>
      <c r="F392" s="1"/>
      <c r="G392" s="1" t="s">
        <v>553</v>
      </c>
      <c r="H392" s="1"/>
      <c r="I392" s="1"/>
      <c r="J392" s="1"/>
      <c r="K392" s="1"/>
      <c r="L392" s="7" t="str">
        <f>CONCATENATE(A392, " - ", Table1[[#This Row],[Farm Name]])</f>
        <v xml:space="preserve">C00826 - </v>
      </c>
    </row>
    <row r="393" spans="1:12" x14ac:dyDescent="0.25">
      <c r="A393" s="1" t="s">
        <v>1006</v>
      </c>
      <c r="B393" s="1" t="s">
        <v>1007</v>
      </c>
      <c r="C393" s="1"/>
      <c r="D393" s="1" t="s">
        <v>636</v>
      </c>
      <c r="E393" s="1" t="s">
        <v>666</v>
      </c>
      <c r="F393" s="1"/>
      <c r="G393" s="1" t="s">
        <v>551</v>
      </c>
      <c r="H393" s="1"/>
      <c r="I393" s="1"/>
      <c r="J393" s="1"/>
      <c r="K393" s="1"/>
      <c r="L393" s="7" t="str">
        <f>CONCATENATE(A393, " - ", Table1[[#This Row],[Farm Name]])</f>
        <v xml:space="preserve">C00223 - </v>
      </c>
    </row>
    <row r="394" spans="1:12" x14ac:dyDescent="0.25">
      <c r="A394" s="1" t="s">
        <v>1008</v>
      </c>
      <c r="B394" s="1" t="s">
        <v>1009</v>
      </c>
      <c r="C394" s="1"/>
      <c r="D394" s="1" t="s">
        <v>636</v>
      </c>
      <c r="E394" s="1" t="s">
        <v>666</v>
      </c>
      <c r="F394" s="1"/>
      <c r="G394" s="1" t="s">
        <v>551</v>
      </c>
      <c r="H394" s="1"/>
      <c r="I394" s="1"/>
      <c r="J394" s="1"/>
      <c r="K394" s="1"/>
      <c r="L394" s="7" t="str">
        <f>CONCATENATE(A394, " - ", Table1[[#This Row],[Farm Name]])</f>
        <v xml:space="preserve">C00824 - </v>
      </c>
    </row>
    <row r="395" spans="1:12" x14ac:dyDescent="0.25">
      <c r="A395" s="1" t="s">
        <v>1010</v>
      </c>
      <c r="B395" s="1" t="s">
        <v>437</v>
      </c>
      <c r="C395" s="1" t="s">
        <v>646</v>
      </c>
      <c r="D395" s="1" t="s">
        <v>636</v>
      </c>
      <c r="E395" s="1" t="s">
        <v>646</v>
      </c>
      <c r="F395" s="1"/>
      <c r="G395" s="1" t="s">
        <v>551</v>
      </c>
      <c r="H395" s="1"/>
      <c r="I395" s="1"/>
      <c r="J395" s="1"/>
      <c r="K395" s="1"/>
      <c r="L395" s="7" t="str">
        <f>CONCATENATE(A395, " - ", Table1[[#This Row],[Farm Name]])</f>
        <v>C00724 - Bangadeniya</v>
      </c>
    </row>
    <row r="396" spans="1:12" x14ac:dyDescent="0.25">
      <c r="A396" s="1" t="s">
        <v>1011</v>
      </c>
      <c r="B396" s="1" t="s">
        <v>1012</v>
      </c>
      <c r="C396" s="1"/>
      <c r="D396" s="1" t="s">
        <v>639</v>
      </c>
      <c r="E396" t="s">
        <v>648</v>
      </c>
      <c r="F396" s="1"/>
      <c r="G396" s="1" t="s">
        <v>554</v>
      </c>
      <c r="H396" s="1"/>
      <c r="I396" s="1"/>
      <c r="J396" s="1"/>
      <c r="K396" s="1"/>
      <c r="L396" s="7" t="str">
        <f>CONCATENATE(A396, " - ", Table1[[#This Row],[Farm Name]])</f>
        <v xml:space="preserve">C00141 - </v>
      </c>
    </row>
    <row r="397" spans="1:12" x14ac:dyDescent="0.25">
      <c r="A397" s="1" t="s">
        <v>1013</v>
      </c>
      <c r="B397" s="1" t="s">
        <v>1015</v>
      </c>
      <c r="C397" s="1" t="s">
        <v>663</v>
      </c>
      <c r="D397" s="1" t="s">
        <v>636</v>
      </c>
      <c r="E397" t="s">
        <v>663</v>
      </c>
      <c r="F397" s="1"/>
      <c r="G397" s="1" t="s">
        <v>551</v>
      </c>
      <c r="H397" s="1"/>
      <c r="I397" s="1"/>
      <c r="J397" s="1"/>
      <c r="K397" s="1"/>
      <c r="L397" s="7" t="str">
        <f>CONCATENATE(A397, " - ", Table1[[#This Row],[Farm Name]])</f>
        <v>C00217 - Wairankattuwa</v>
      </c>
    </row>
    <row r="398" spans="1:12" x14ac:dyDescent="0.25">
      <c r="A398" s="1" t="s">
        <v>1014</v>
      </c>
      <c r="B398" s="1" t="s">
        <v>1015</v>
      </c>
      <c r="C398" s="1" t="s">
        <v>1016</v>
      </c>
      <c r="D398" s="1" t="s">
        <v>636</v>
      </c>
      <c r="E398" t="s">
        <v>665</v>
      </c>
      <c r="F398" s="1"/>
      <c r="G398" s="1" t="s">
        <v>551</v>
      </c>
      <c r="H398" s="1"/>
      <c r="I398" s="1"/>
      <c r="J398" s="1"/>
      <c r="K398" s="1"/>
      <c r="L398" s="7" t="str">
        <f>CONCATENATE(A398, " - ", Table1[[#This Row],[Farm Name]])</f>
        <v>C00220 -  Muthupanthiya</v>
      </c>
    </row>
    <row r="399" spans="1:12" x14ac:dyDescent="0.25">
      <c r="A399" s="1" t="s">
        <v>1017</v>
      </c>
      <c r="B399" s="1" t="s">
        <v>1018</v>
      </c>
      <c r="C399" s="1"/>
      <c r="D399" s="1" t="s">
        <v>636</v>
      </c>
      <c r="E399" t="s">
        <v>665</v>
      </c>
      <c r="F399" s="1"/>
      <c r="G399" s="1" t="s">
        <v>551</v>
      </c>
      <c r="H399" s="1"/>
      <c r="I399" s="1"/>
      <c r="J399" s="1"/>
      <c r="K399" s="1"/>
      <c r="L399" s="7" t="str">
        <f>CONCATENATE(A399, " - ", Table1[[#This Row],[Farm Name]])</f>
        <v xml:space="preserve">C00645 - </v>
      </c>
    </row>
    <row r="400" spans="1:12" x14ac:dyDescent="0.25">
      <c r="A400" s="1" t="s">
        <v>1019</v>
      </c>
      <c r="B400" s="1" t="s">
        <v>1020</v>
      </c>
      <c r="C400" s="10"/>
      <c r="D400" s="10" t="s">
        <v>639</v>
      </c>
      <c r="E400" s="10" t="s">
        <v>644</v>
      </c>
      <c r="F400" s="1"/>
      <c r="G400" s="1" t="s">
        <v>554</v>
      </c>
      <c r="H400" s="1"/>
      <c r="I400" s="1"/>
      <c r="J400" s="1"/>
      <c r="K400" s="1"/>
      <c r="L400" s="11" t="str">
        <f>CONCATENATE(A400, " - ", Table1[[#This Row],[Farm Name]])</f>
        <v xml:space="preserve">C00582 -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2026-10-21T06:00:55Z</dcterms:modified>
</cp:coreProperties>
</file>